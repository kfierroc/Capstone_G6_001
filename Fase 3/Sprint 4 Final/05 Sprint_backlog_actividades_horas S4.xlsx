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Ouh62N54f0Qrp5jddTfElbSqkulCubDmzVnbTQnDpkk="/>
    </ext>
  </extLst>
</workbook>
</file>

<file path=xl/sharedStrings.xml><?xml version="1.0" encoding="utf-8"?>
<sst xmlns="http://schemas.openxmlformats.org/spreadsheetml/2006/main" count="652" uniqueCount="316">
  <si>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</si>
  <si>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</si>
  <si>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</si>
  <si>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</si>
  <si>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</si>
  <si>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</si>
  <si>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</si>
  <si>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</si>
  <si>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Responsable</t>
  </si>
  <si>
    <t>Sprint 1</t>
  </si>
  <si>
    <t>TOTAL PROYECTO</t>
  </si>
  <si>
    <t>F0</t>
  </si>
  <si>
    <t>T-01</t>
  </si>
  <si>
    <t>Definir arquitectura general (Flutter + Supabase)</t>
  </si>
  <si>
    <t>Kevin F</t>
  </si>
  <si>
    <t>HU</t>
  </si>
  <si>
    <t>Tareas</t>
  </si>
  <si>
    <t>Horas</t>
  </si>
  <si>
    <t>% Progreso</t>
  </si>
  <si>
    <t>% Progreso S1</t>
  </si>
  <si>
    <t>T-02</t>
  </si>
  <si>
    <t>Diseñar modelo de datos (ERD completo)</t>
  </si>
  <si>
    <t>FASE 0</t>
  </si>
  <si>
    <t>% Progreso S2</t>
  </si>
  <si>
    <t>T-03</t>
  </si>
  <si>
    <t>Diseñar navegación y pantallas principales (Flutter)</t>
  </si>
  <si>
    <t>Jose M</t>
  </si>
  <si>
    <t>EPICA E-01</t>
  </si>
  <si>
    <t>% Progreso S3</t>
  </si>
  <si>
    <t>T-04</t>
  </si>
  <si>
    <t>Inicializar proyecto Flutter (mobile + web)</t>
  </si>
  <si>
    <t>TOTAL S1</t>
  </si>
  <si>
    <t>% Progreso S4</t>
  </si>
  <si>
    <t>T-05</t>
  </si>
  <si>
    <t>Configurar proyecto Supabase</t>
  </si>
  <si>
    <t>Sprint 2</t>
  </si>
  <si>
    <t>T-06</t>
  </si>
  <si>
    <t>Configurar conexión Flutter ↔ Supabase</t>
  </si>
  <si>
    <t>HU totales</t>
  </si>
  <si>
    <t>T-07</t>
  </si>
  <si>
    <t>Configurar Google Maps API (API Key y permisos)</t>
  </si>
  <si>
    <t>Tareas totales</t>
  </si>
  <si>
    <t>T-08</t>
  </si>
  <si>
    <t>Integrar mapa base en Flutter</t>
  </si>
  <si>
    <t>TOTAL S2</t>
  </si>
  <si>
    <t>Horas totales</t>
  </si>
  <si>
    <t>T-09</t>
  </si>
  <si>
    <t>Configurar geolocalización</t>
  </si>
  <si>
    <t>Sprint 3</t>
  </si>
  <si>
    <t>T-10</t>
  </si>
  <si>
    <t>Configurar PostGIS en Supabase (cálculos geoespaciales)</t>
  </si>
  <si>
    <t>T-11</t>
  </si>
  <si>
    <t>Configurar Supabase Auth</t>
  </si>
  <si>
    <t>EPICA E-02</t>
  </si>
  <si>
    <t>T-12</t>
  </si>
  <si>
    <t>Definir roles del sistema (Residente, Bombero, Admin)</t>
  </si>
  <si>
    <t>TOTAL S3</t>
  </si>
  <si>
    <t>T-13</t>
  </si>
  <si>
    <t>Poblar base de datos con comunas (polígonos)</t>
  </si>
  <si>
    <t>Sprint 4</t>
  </si>
  <si>
    <t>T-14</t>
  </si>
  <si>
    <t>Acceder a API con datos de centros de distribución de gas</t>
  </si>
  <si>
    <t>E-01</t>
  </si>
  <si>
    <t>HU-01</t>
  </si>
  <si>
    <t>T-15</t>
  </si>
  <si>
    <t>Implementar registro con Supabase Auth</t>
  </si>
  <si>
    <t>EPICA E-03</t>
  </si>
  <si>
    <t>T-16</t>
  </si>
  <si>
    <t>Validar datos de registro</t>
  </si>
  <si>
    <t>EPICA E-04</t>
  </si>
  <si>
    <t>T-17</t>
  </si>
  <si>
    <t>Manejar errores de registro</t>
  </si>
  <si>
    <t>TOTAL S4</t>
  </si>
  <si>
    <t>HU-02</t>
  </si>
  <si>
    <t>T-18</t>
  </si>
  <si>
    <t>Implementar login con Supabase Auth</t>
  </si>
  <si>
    <t>RESUMEN TOTAL PROYECTO</t>
  </si>
  <si>
    <t>T-19</t>
  </si>
  <si>
    <t>Manejar errores de autenticación</t>
  </si>
  <si>
    <t>HU-03</t>
  </si>
  <si>
    <t>T-20</t>
  </si>
  <si>
    <t>Insertar vivienda en Supabase</t>
  </si>
  <si>
    <t>T-21</t>
  </si>
  <si>
    <t>Crear formulario vivienda</t>
  </si>
  <si>
    <t>T-22</t>
  </si>
  <si>
    <t>Validar campos vivienda</t>
  </si>
  <si>
    <t>T-23</t>
  </si>
  <si>
    <t>Integrar selección en mapa</t>
  </si>
  <si>
    <t>T-24</t>
  </si>
  <si>
    <t>Asignar comuna por coordenadas</t>
  </si>
  <si>
    <t>T-25</t>
  </si>
  <si>
    <t>Asociar vivienda a usuario</t>
  </si>
  <si>
    <t>%</t>
  </si>
  <si>
    <t>HU-04</t>
  </si>
  <si>
    <t>T-26</t>
  </si>
  <si>
    <t>Crear endpoint actualizar vivienda</t>
  </si>
  <si>
    <t>T-27</t>
  </si>
  <si>
    <t>Implementar edición en UI</t>
  </si>
  <si>
    <t>Kathe C</t>
  </si>
  <si>
    <t>T-28</t>
  </si>
  <si>
    <t>Validar cambios</t>
  </si>
  <si>
    <t>HU-05</t>
  </si>
  <si>
    <t>T-29</t>
  </si>
  <si>
    <t>Crear endpoint eliminar vivienda</t>
  </si>
  <si>
    <t>T-30</t>
  </si>
  <si>
    <t>Confirmación eliminación UI</t>
  </si>
  <si>
    <t>HU-06</t>
  </si>
  <si>
    <t>T-31</t>
  </si>
  <si>
    <t>Crear endpoint registrar materiales peligrosos</t>
  </si>
  <si>
    <t>T-32</t>
  </si>
  <si>
    <t>UI selección materiales</t>
  </si>
  <si>
    <t>T-33</t>
  </si>
  <si>
    <t>Validar datos de materiales</t>
  </si>
  <si>
    <t>T-34</t>
  </si>
  <si>
    <t>Asociar materiales a vivienda</t>
  </si>
  <si>
    <t>HU-07</t>
  </si>
  <si>
    <t>T-35</t>
  </si>
  <si>
    <t>Crear endpoint actualizar materiales</t>
  </si>
  <si>
    <t>T-36</t>
  </si>
  <si>
    <t>Editar materiales en UI</t>
  </si>
  <si>
    <t>T-37</t>
  </si>
  <si>
    <t>Validar cambios de materiales</t>
  </si>
  <si>
    <t>HU-08</t>
  </si>
  <si>
    <t>T-38</t>
  </si>
  <si>
    <t>Crear endpoint eliminar materiales</t>
  </si>
  <si>
    <t>T-39</t>
  </si>
  <si>
    <t>Confirmación eliminación materiales</t>
  </si>
  <si>
    <t>HU-09</t>
  </si>
  <si>
    <t>T-40</t>
  </si>
  <si>
    <t>Crear endpoint registrar integrante</t>
  </si>
  <si>
    <t>T-41</t>
  </si>
  <si>
    <t>Formulario integrante</t>
  </si>
  <si>
    <t>T-42</t>
  </si>
  <si>
    <t>Validar datos integrante</t>
  </si>
  <si>
    <t>T-43</t>
  </si>
  <si>
    <t>Asociar integrante a vivienda</t>
  </si>
  <si>
    <t>HU-10</t>
  </si>
  <si>
    <t>T-44</t>
  </si>
  <si>
    <t>Crear endpoint actualizar integrante</t>
  </si>
  <si>
    <t>T-45</t>
  </si>
  <si>
    <t>Editar integrante en UI</t>
  </si>
  <si>
    <t>T-46</t>
  </si>
  <si>
    <t>Validar cambios integrante</t>
  </si>
  <si>
    <t>HU-11</t>
  </si>
  <si>
    <t>T-47</t>
  </si>
  <si>
    <t>Crear endpoint eliminar integrante</t>
  </si>
  <si>
    <t>T-48</t>
  </si>
  <si>
    <t>Confirmación eliminación integrante</t>
  </si>
  <si>
    <t>HU-12</t>
  </si>
  <si>
    <t>T-49</t>
  </si>
  <si>
    <t>Crear endpoint registrar mascota</t>
  </si>
  <si>
    <t>T-50</t>
  </si>
  <si>
    <t>Formulario mascota</t>
  </si>
  <si>
    <t>T-51</t>
  </si>
  <si>
    <t>Validar datos mascota</t>
  </si>
  <si>
    <t>HU-13</t>
  </si>
  <si>
    <t>T-52</t>
  </si>
  <si>
    <t>Crear endpoint actualizar mascota</t>
  </si>
  <si>
    <t>T-53</t>
  </si>
  <si>
    <t>Editar mascota en UI</t>
  </si>
  <si>
    <t>T-54</t>
  </si>
  <si>
    <t>Validar cambios mascota</t>
  </si>
  <si>
    <t>HU-14</t>
  </si>
  <si>
    <t>T-55</t>
  </si>
  <si>
    <t>Crear endpoint eliminar mascota</t>
  </si>
  <si>
    <t>T-56</t>
  </si>
  <si>
    <t>Confirmación eliminación mascota</t>
  </si>
  <si>
    <t>HU-15</t>
  </si>
  <si>
    <t>T-57</t>
  </si>
  <si>
    <t>Crear endpoint obtener vivienda completa</t>
  </si>
  <si>
    <t>T-58</t>
  </si>
  <si>
    <t>Integrar datos relacionados (personas, mascotas, riesgos)</t>
  </si>
  <si>
    <t>T-59</t>
  </si>
  <si>
    <t>Mostrar vista resumen en UI</t>
  </si>
  <si>
    <t>T-60</t>
  </si>
  <si>
    <t>Mostrar alertas de riesgo</t>
  </si>
  <si>
    <t>E-02</t>
  </si>
  <si>
    <t>HU-16</t>
  </si>
  <si>
    <t>T-61</t>
  </si>
  <si>
    <t>Implementar registro de bombero</t>
  </si>
  <si>
    <t>T-62</t>
  </si>
  <si>
    <t>Validar datos de bombero</t>
  </si>
  <si>
    <t>T-63</t>
  </si>
  <si>
    <t>HU-17</t>
  </si>
  <si>
    <t>T-64</t>
  </si>
  <si>
    <t>Implementar login bombero</t>
  </si>
  <si>
    <t>T-65</t>
  </si>
  <si>
    <t>Manejar sesión persistente</t>
  </si>
  <si>
    <t>T-66</t>
  </si>
  <si>
    <t>Validar acceso por rol</t>
  </si>
  <si>
    <t>HU-18</t>
  </si>
  <si>
    <t>T-67</t>
  </si>
  <si>
    <t>Guardar comuna predeterminada</t>
  </si>
  <si>
    <t>T-68</t>
  </si>
  <si>
    <t>Selector de comuna en UI</t>
  </si>
  <si>
    <t>T-69</t>
  </si>
  <si>
    <t>Aplicar filtro automático</t>
  </si>
  <si>
    <t>HU-19</t>
  </si>
  <si>
    <t>T-70</t>
  </si>
  <si>
    <t>Actualizar comuna predeterminada</t>
  </si>
  <si>
    <t>T-71</t>
  </si>
  <si>
    <t>Validar comuna seleccionada</t>
  </si>
  <si>
    <t>HU-20</t>
  </si>
  <si>
    <t>T-72</t>
  </si>
  <si>
    <t>Buscar vivienda por dirección</t>
  </si>
  <si>
    <t>T-73</t>
  </si>
  <si>
    <t>Integrar autocomplete Google Maps</t>
  </si>
  <si>
    <t>T-74</t>
  </si>
  <si>
    <t>Manejar resultados y errores</t>
  </si>
  <si>
    <t>HU-21</t>
  </si>
  <si>
    <t>T-75</t>
  </si>
  <si>
    <t xml:space="preserve">Consultar vivienda completa </t>
  </si>
  <si>
    <t>T-76</t>
  </si>
  <si>
    <t>Mostrar datos estructurados</t>
  </si>
  <si>
    <t>T-77</t>
  </si>
  <si>
    <t>Destacar materiales peligrosos</t>
  </si>
  <si>
    <t>HU-22</t>
  </si>
  <si>
    <t>T-78</t>
  </si>
  <si>
    <t>Mostrar ubicación en mapa</t>
  </si>
  <si>
    <t>T-79</t>
  </si>
  <si>
    <t>Implementar zoom/pan</t>
  </si>
  <si>
    <t>T-80</t>
  </si>
  <si>
    <t>Manejar errores del mapa</t>
  </si>
  <si>
    <t>HU-23</t>
  </si>
  <si>
    <t>T-81</t>
  </si>
  <si>
    <t>Consultar centros de gas</t>
  </si>
  <si>
    <t>T-82</t>
  </si>
  <si>
    <t>Calcular proximidad (PostGIS)</t>
  </si>
  <si>
    <t>T-83</t>
  </si>
  <si>
    <t>Mostrar en mapa</t>
  </si>
  <si>
    <t>HU-24</t>
  </si>
  <si>
    <t>T-84</t>
  </si>
  <si>
    <t>Filtrar por comuna (Elaborar Query)</t>
  </si>
  <si>
    <t>T-85</t>
  </si>
  <si>
    <t>Filtro en frontend</t>
  </si>
  <si>
    <t>T-86</t>
  </si>
  <si>
    <t>Actualizar resultados</t>
  </si>
  <si>
    <t>E-03</t>
  </si>
  <si>
    <t>HU-25</t>
  </si>
  <si>
    <t>T-87</t>
  </si>
  <si>
    <t xml:space="preserve">Registrar grifo </t>
  </si>
  <si>
    <t>T-88</t>
  </si>
  <si>
    <t>Formulario grifo</t>
  </si>
  <si>
    <t>T-89</t>
  </si>
  <si>
    <t>Validar coordenadas</t>
  </si>
  <si>
    <t>HU-26</t>
  </si>
  <si>
    <t>T-90</t>
  </si>
  <si>
    <t>Actualizar grifo (estado/ubicación)</t>
  </si>
  <si>
    <t>T-91</t>
  </si>
  <si>
    <t>Editar grifo en UI</t>
  </si>
  <si>
    <t>HU-27</t>
  </si>
  <si>
    <t>T-92</t>
  </si>
  <si>
    <t>Eliminar grifo</t>
  </si>
  <si>
    <t>T-93</t>
  </si>
  <si>
    <t>Confirmación eliminación grifo</t>
  </si>
  <si>
    <t>HU-28</t>
  </si>
  <si>
    <t>T-94</t>
  </si>
  <si>
    <t>Mostrar grifos en mapa</t>
  </si>
  <si>
    <t>T-95</t>
  </si>
  <si>
    <t>Calcular cercanía al usuario/mapa</t>
  </si>
  <si>
    <t>T-96</t>
  </si>
  <si>
    <t>Limitar resultados</t>
  </si>
  <si>
    <t xml:space="preserve"> </t>
  </si>
  <si>
    <t>HU-29</t>
  </si>
  <si>
    <t>T-97</t>
  </si>
  <si>
    <t>Calcular cercanía al centro del mapa</t>
  </si>
  <si>
    <t>T-98</t>
  </si>
  <si>
    <t>Actualizar al mover mapa</t>
  </si>
  <si>
    <t>HU-30</t>
  </si>
  <si>
    <t>T-99</t>
  </si>
  <si>
    <t>Calcular distancia grifos-residencia</t>
  </si>
  <si>
    <t>T-100</t>
  </si>
  <si>
    <t>Filtrar grifos operativos</t>
  </si>
  <si>
    <t>T-101</t>
  </si>
  <si>
    <t>Ordenar por cercanía</t>
  </si>
  <si>
    <t>T-102</t>
  </si>
  <si>
    <t>Limitar resultados (top 3)</t>
  </si>
  <si>
    <t>HU-31</t>
  </si>
  <si>
    <t>T-103</t>
  </si>
  <si>
    <t>Identificar grifos cercanos a residencia</t>
  </si>
  <si>
    <t>T-104</t>
  </si>
  <si>
    <t>Priorizar operativos</t>
  </si>
  <si>
    <t>HU-32</t>
  </si>
  <si>
    <t>T-105</t>
  </si>
  <si>
    <t>Filtro por estado en backend</t>
  </si>
  <si>
    <t>T-106</t>
  </si>
  <si>
    <t>Selector de estado en UI</t>
  </si>
  <si>
    <t>E-04</t>
  </si>
  <si>
    <t>HU-33</t>
  </si>
  <si>
    <t>T-107</t>
  </si>
  <si>
    <t>Listar usuarios</t>
  </si>
  <si>
    <t>T-108</t>
  </si>
  <si>
    <t>Crear usuario (admin)</t>
  </si>
  <si>
    <t>T-109</t>
  </si>
  <si>
    <t>Eliminar usuario</t>
  </si>
  <si>
    <t>HU-34</t>
  </si>
  <si>
    <t>T-110</t>
  </si>
  <si>
    <t>Visualizar viviendas (admin)</t>
  </si>
  <si>
    <t>T-111</t>
  </si>
  <si>
    <t>Visualizar usuarios (admin)</t>
  </si>
  <si>
    <t>T-112</t>
  </si>
  <si>
    <t>Visualizar grifos (admin)</t>
  </si>
  <si>
    <t>HU-35</t>
  </si>
  <si>
    <t>T-113</t>
  </si>
  <si>
    <t>Editar datos usuario</t>
  </si>
  <si>
    <t>T-114</t>
  </si>
  <si>
    <t>Validar datos usuario</t>
  </si>
  <si>
    <t>HU-36</t>
  </si>
  <si>
    <t>T-115</t>
  </si>
  <si>
    <t>Asignar roles</t>
  </si>
  <si>
    <t>HU-37</t>
  </si>
  <si>
    <t>T-116</t>
  </si>
  <si>
    <t>Modificar roles</t>
  </si>
  <si>
    <t>HU-38</t>
  </si>
  <si>
    <t>T-117</t>
  </si>
  <si>
    <t>Eliminar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</si>
</sst>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2" fillId="3" fontId="6" numFmtId="0" xfId="0" applyBorder="1" applyFont="1"/>
    <xf borderId="5" fillId="4" fontId="7" numFmtId="0" xfId="0" applyAlignment="1" applyBorder="1" applyFill="1" applyFont="1">
      <alignment vertical="bottom"/>
    </xf>
    <xf borderId="1" fillId="4" fontId="7" numFmtId="0" xfId="0" applyAlignment="1" applyBorder="1" applyFont="1">
      <alignment vertical="bottom"/>
    </xf>
    <xf borderId="1" fillId="4" fontId="7" numFmtId="2" xfId="0" applyAlignment="1" applyBorder="1" applyFont="1" applyNumberFormat="1">
      <alignment vertical="bottom"/>
    </xf>
    <xf borderId="3" fillId="0" fontId="6" numFmtId="2" xfId="0" applyBorder="1" applyFont="1" applyNumberFormat="1"/>
    <xf borderId="4" fillId="0" fontId="6" numFmtId="2" xfId="0" applyBorder="1" applyFont="1" applyNumberFormat="1"/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9" fillId="3" fontId="6" numFmtId="0" xfId="0" applyBorder="1" applyFont="1"/>
    <xf borderId="7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vertical="bottom"/>
    </xf>
    <xf borderId="0" fillId="5" fontId="7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4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shrinkToFit="0" wrapText="1"/>
    </xf>
    <xf borderId="3" fillId="0" fontId="6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/>
    </xf>
    <xf borderId="1" fillId="6" fontId="5" numFmtId="0" xfId="0" applyAlignment="1" applyBorder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4" fillId="7" fontId="3" numFmtId="0" xfId="0" applyAlignment="1" applyBorder="1" applyFill="1" applyFont="1">
      <alignment horizontal="center" shrinkToFit="0" wrapText="1"/>
    </xf>
    <xf borderId="1" fillId="7" fontId="5" numFmtId="0" xfId="0" applyAlignment="1" applyBorder="1" applyFon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4" fillId="8" fontId="3" numFmtId="0" xfId="0" applyAlignment="1" applyBorder="1" applyFill="1" applyFont="1">
      <alignment horizontal="center" shrinkToFit="0" wrapText="1"/>
    </xf>
    <xf borderId="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6" numFmtId="0" xfId="0" applyFont="1"/>
    <xf borderId="1" fillId="8" fontId="5" numFmtId="0" xfId="0" applyAlignment="1" applyBorder="1" applyFont="1">
      <alignment horizontal="right" vertical="bottom"/>
    </xf>
    <xf borderId="1" fillId="8" fontId="5" numFmtId="2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/>
    </xf>
    <xf borderId="7" fillId="0" fontId="6" numFmtId="0" xfId="0" applyBorder="1" applyFont="1"/>
    <xf borderId="4" fillId="2" fontId="3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/>
    </xf>
    <xf borderId="11" fillId="0" fontId="6" numFmtId="0" xfId="0" applyBorder="1" applyFont="1"/>
    <xf borderId="12" fillId="4" fontId="7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/>
    </xf>
    <xf borderId="13" fillId="0" fontId="4" numFmtId="0" xfId="0" applyBorder="1" applyFont="1"/>
    <xf borderId="1" fillId="0" fontId="6" numFmtId="0" xfId="0" applyBorder="1" applyFont="1"/>
    <xf borderId="1" fillId="0" fontId="6" numFmtId="2" xfId="0" applyBorder="1" applyFont="1" applyNumberFormat="1"/>
    <xf borderId="4" fillId="3" fontId="8" numFmtId="0" xfId="0" applyAlignment="1" applyBorder="1" applyFont="1">
      <alignment horizontal="center"/>
    </xf>
    <xf borderId="11" fillId="3" fontId="6" numFmtId="0" xfId="0" applyBorder="1" applyFont="1"/>
    <xf borderId="5" fillId="3" fontId="6" numFmtId="2" xfId="0" applyBorder="1" applyFont="1" applyNumberFormat="1"/>
    <xf borderId="11" fillId="3" fontId="6" numFmtId="2" xfId="0" applyBorder="1" applyFont="1" applyNumberFormat="1"/>
    <xf borderId="5" fillId="3" fontId="6" numFmtId="0" xfId="0" applyAlignment="1" applyBorder="1" applyFont="1">
      <alignment horizontal="left"/>
    </xf>
    <xf borderId="9" fillId="6" fontId="6" numFmtId="0" xfId="0" applyBorder="1" applyFont="1"/>
    <xf borderId="4" fillId="6" fontId="8" numFmtId="0" xfId="0" applyAlignment="1" applyBorder="1" applyFont="1">
      <alignment horizontal="center"/>
    </xf>
    <xf borderId="4" fillId="6" fontId="6" numFmtId="0" xfId="0" applyBorder="1" applyFont="1"/>
    <xf borderId="5" fillId="6" fontId="6" numFmtId="2" xfId="0" applyBorder="1" applyFont="1" applyNumberFormat="1"/>
    <xf borderId="3" fillId="6" fontId="6" numFmtId="2" xfId="0" applyBorder="1" applyFont="1" applyNumberFormat="1"/>
    <xf borderId="5" fillId="6" fontId="6" numFmtId="0" xfId="0" applyAlignment="1" applyBorder="1" applyFont="1">
      <alignment horizontal="left"/>
    </xf>
    <xf borderId="9" fillId="7" fontId="6" numFmtId="0" xfId="0" applyBorder="1" applyFont="1"/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6" numFmtId="0" xfId="0" applyBorder="1" applyFont="1"/>
    <xf borderId="4" fillId="7" fontId="8" numFmtId="0" xfId="0" applyAlignment="1" applyBorder="1" applyFont="1">
      <alignment horizontal="center"/>
    </xf>
    <xf borderId="4" fillId="7" fontId="6" numFmtId="0" xfId="0" applyBorder="1" applyFont="1"/>
    <xf borderId="5" fillId="7" fontId="6" numFmtId="0" xfId="0" applyAlignment="1" applyBorder="1" applyFont="1">
      <alignment horizontal="left"/>
    </xf>
    <xf borderId="3" fillId="7" fontId="6" numFmtId="2" xfId="0" applyBorder="1" applyFont="1" applyNumberFormat="1"/>
    <xf borderId="9" fillId="8" fontId="6" numFmtId="0" xfId="0" applyBorder="1" applyFont="1"/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4" fillId="0" fontId="5" numFmtId="0" xfId="0" applyAlignment="1" applyBorder="1" applyFont="1">
      <alignment vertical="bottom"/>
    </xf>
    <xf borderId="4" fillId="8" fontId="8" numFmtId="0" xfId="0" applyAlignment="1" applyBorder="1" applyFont="1">
      <alignment horizontal="center"/>
    </xf>
    <xf borderId="4" fillId="8" fontId="6" numFmtId="0" xfId="0" applyBorder="1" applyFont="1"/>
    <xf borderId="5" fillId="8" fontId="6" numFmtId="0" xfId="0" applyAlignment="1" applyBorder="1" applyFont="1">
      <alignment horizontal="left"/>
    </xf>
    <xf borderId="3" fillId="8" fontId="6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6.43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SUM(E7:E128)</f>
        <v>394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6" t="s">
        <v>8</v>
      </c>
      <c r="G6" s="7" t="s">
        <v>9</v>
      </c>
      <c r="H6" s="8"/>
      <c r="I6" s="8"/>
      <c r="J6" s="8"/>
      <c r="K6" s="9"/>
      <c r="L6" s="10" t="s">
        <v>10</v>
      </c>
      <c r="M6" s="8"/>
      <c r="N6" s="9"/>
    </row>
    <row r="7">
      <c r="A7" s="11" t="s">
        <v>11</v>
      </c>
      <c r="B7" s="12" t="s">
        <v>11</v>
      </c>
      <c r="C7" s="13" t="s">
        <v>12</v>
      </c>
      <c r="D7" s="13" t="s">
        <v>13</v>
      </c>
      <c r="E7" s="12">
        <v>6.0</v>
      </c>
      <c r="F7" s="14" t="s">
        <v>14</v>
      </c>
      <c r="G7" s="15"/>
      <c r="H7" s="16" t="s">
        <v>15</v>
      </c>
      <c r="I7" s="16" t="s">
        <v>16</v>
      </c>
      <c r="J7" s="16" t="s">
        <v>17</v>
      </c>
      <c r="K7" s="17" t="s">
        <v>18</v>
      </c>
      <c r="L7" s="18">
        <f>(G31 * 100)/B4</f>
        <v>27.91878173</v>
      </c>
      <c r="M7" s="19" t="s">
        <v>19</v>
      </c>
      <c r="N7" s="9"/>
    </row>
    <row r="8">
      <c r="A8" s="20" t="s">
        <v>11</v>
      </c>
      <c r="B8" s="21" t="s">
        <v>11</v>
      </c>
      <c r="C8" s="22" t="s">
        <v>20</v>
      </c>
      <c r="D8" s="22" t="s">
        <v>21</v>
      </c>
      <c r="E8" s="21">
        <v>10.0</v>
      </c>
      <c r="F8" s="23" t="s">
        <v>14</v>
      </c>
      <c r="G8" s="24" t="s">
        <v>22</v>
      </c>
      <c r="H8" s="25">
        <v>0.0</v>
      </c>
      <c r="I8" s="25">
        <f t="array" ref="I8">COUNTA(UNIQUE(C7:C20))</f>
        <v>14</v>
      </c>
      <c r="J8" s="25">
        <f>SUM(E7:E20)</f>
        <v>71</v>
      </c>
      <c r="K8" s="26">
        <f>(J8 * 100)/B4</f>
        <v>18.02030457</v>
      </c>
      <c r="L8" s="18">
        <f>(G66 * 100)/B4</f>
        <v>25.88832487</v>
      </c>
      <c r="M8" s="19" t="s">
        <v>23</v>
      </c>
      <c r="N8" s="9"/>
    </row>
    <row r="9">
      <c r="A9" s="27" t="s">
        <v>11</v>
      </c>
      <c r="B9" s="28" t="s">
        <v>11</v>
      </c>
      <c r="C9" s="29" t="s">
        <v>24</v>
      </c>
      <c r="D9" s="29" t="s">
        <v>25</v>
      </c>
      <c r="E9" s="28">
        <v>8.0</v>
      </c>
      <c r="F9" s="23" t="s">
        <v>26</v>
      </c>
      <c r="G9" s="30" t="s">
        <v>27</v>
      </c>
      <c r="H9" s="31">
        <f t="shared" ref="H9:I9" si="1">COUNTA(UNIQUE(B21:B31))</f>
        <v>3</v>
      </c>
      <c r="I9" s="31">
        <f t="shared" si="1"/>
        <v>11</v>
      </c>
      <c r="J9" s="31">
        <f>SUM(E21:E31)</f>
        <v>39</v>
      </c>
      <c r="K9" s="32">
        <f>(J9 * 100)/B4</f>
        <v>9.898477157</v>
      </c>
      <c r="L9" s="18">
        <f>(G92 * 100)/B4</f>
        <v>21.57360406</v>
      </c>
      <c r="M9" s="19" t="s">
        <v>28</v>
      </c>
      <c r="N9" s="9"/>
    </row>
    <row r="10">
      <c r="A10" s="20" t="s">
        <v>11</v>
      </c>
      <c r="B10" s="12" t="s">
        <v>11</v>
      </c>
      <c r="C10" s="22" t="s">
        <v>29</v>
      </c>
      <c r="D10" s="13" t="s">
        <v>30</v>
      </c>
      <c r="E10" s="12">
        <v>4.0</v>
      </c>
      <c r="F10" s="23" t="s">
        <v>26</v>
      </c>
      <c r="G10" s="33" t="s">
        <v>31</v>
      </c>
      <c r="H10" s="34">
        <f t="shared" ref="H10:K10" si="2">SUM(H8,H9)</f>
        <v>3</v>
      </c>
      <c r="I10" s="34">
        <f t="shared" si="2"/>
        <v>25</v>
      </c>
      <c r="J10" s="34">
        <f t="shared" si="2"/>
        <v>110</v>
      </c>
      <c r="K10" s="35">
        <f t="shared" si="2"/>
        <v>27.91878173</v>
      </c>
      <c r="L10" s="18">
        <f>(G123 * 100)/B4</f>
        <v>24.61928934</v>
      </c>
      <c r="M10" s="19" t="s">
        <v>32</v>
      </c>
      <c r="N10" s="9"/>
    </row>
    <row r="11">
      <c r="A11" s="20" t="s">
        <v>11</v>
      </c>
      <c r="B11" s="21" t="s">
        <v>11</v>
      </c>
      <c r="C11" s="22" t="s">
        <v>33</v>
      </c>
      <c r="D11" s="22" t="s">
        <v>34</v>
      </c>
      <c r="E11" s="21">
        <v>4.0</v>
      </c>
      <c r="F11" s="23" t="s">
        <v>14</v>
      </c>
      <c r="G11" s="36" t="s">
        <v>35</v>
      </c>
      <c r="H11" s="8"/>
      <c r="I11" s="8"/>
      <c r="J11" s="8"/>
      <c r="K11" s="9"/>
      <c r="L11" s="37">
        <f>SUM(L10,L9,L8,L7)</f>
        <v>100</v>
      </c>
      <c r="M11" s="38" t="s">
        <v>18</v>
      </c>
      <c r="N11" s="9"/>
    </row>
    <row r="12">
      <c r="A12" s="20" t="s">
        <v>11</v>
      </c>
      <c r="B12" s="21" t="s">
        <v>11</v>
      </c>
      <c r="C12" s="22" t="s">
        <v>36</v>
      </c>
      <c r="D12" s="22" t="s">
        <v>37</v>
      </c>
      <c r="E12" s="21">
        <v>5.0</v>
      </c>
      <c r="F12" s="23" t="s">
        <v>26</v>
      </c>
      <c r="G12" s="15"/>
      <c r="H12" s="16" t="s">
        <v>15</v>
      </c>
      <c r="I12" s="16" t="s">
        <v>16</v>
      </c>
      <c r="J12" s="16" t="s">
        <v>17</v>
      </c>
      <c r="K12" s="17" t="s">
        <v>18</v>
      </c>
      <c r="L12" s="39">
        <f t="array" ref="L12">COUNTA(UNIQUE(B7:B135))</f>
        <v>39</v>
      </c>
      <c r="M12" s="40" t="s">
        <v>38</v>
      </c>
      <c r="N12" s="9"/>
    </row>
    <row r="13">
      <c r="A13" s="11" t="s">
        <v>11</v>
      </c>
      <c r="B13" s="12" t="s">
        <v>11</v>
      </c>
      <c r="C13" s="13" t="s">
        <v>39</v>
      </c>
      <c r="D13" s="13" t="s">
        <v>40</v>
      </c>
      <c r="E13" s="12">
        <v>4.0</v>
      </c>
      <c r="F13" s="23" t="s">
        <v>26</v>
      </c>
      <c r="G13" s="30" t="s">
        <v>27</v>
      </c>
      <c r="H13" s="25">
        <f t="shared" ref="H13:I13" si="3">COUNTA(UNIQUE(B32:B66))</f>
        <v>12</v>
      </c>
      <c r="I13" s="25">
        <f t="shared" si="3"/>
        <v>35</v>
      </c>
      <c r="J13" s="25">
        <f>SUM(E32:E66)</f>
        <v>102</v>
      </c>
      <c r="K13" s="26">
        <f>(J13 * 100)/B4</f>
        <v>25.88832487</v>
      </c>
      <c r="L13" s="39">
        <f>SUM(I8,I9,I13,I17,I21,I22)</f>
        <v>117</v>
      </c>
      <c r="M13" s="40" t="s">
        <v>41</v>
      </c>
      <c r="N13" s="9"/>
    </row>
    <row r="14">
      <c r="A14" s="20" t="s">
        <v>11</v>
      </c>
      <c r="B14" s="21" t="s">
        <v>11</v>
      </c>
      <c r="C14" s="22" t="s">
        <v>42</v>
      </c>
      <c r="D14" s="22" t="s">
        <v>43</v>
      </c>
      <c r="E14" s="21">
        <v>6.0</v>
      </c>
      <c r="F14" s="23" t="s">
        <v>26</v>
      </c>
      <c r="G14" s="33" t="s">
        <v>44</v>
      </c>
      <c r="H14" s="41">
        <f t="shared" ref="H14:K14" si="4">SUM(H13)</f>
        <v>12</v>
      </c>
      <c r="I14" s="41">
        <f t="shared" si="4"/>
        <v>35</v>
      </c>
      <c r="J14" s="41">
        <f t="shared" si="4"/>
        <v>102</v>
      </c>
      <c r="K14" s="42">
        <f t="shared" si="4"/>
        <v>25.88832487</v>
      </c>
      <c r="L14" s="39">
        <f>SUM(E7:E129)</f>
        <v>394</v>
      </c>
      <c r="M14" s="40" t="s">
        <v>45</v>
      </c>
      <c r="N14" s="9"/>
    </row>
    <row r="15">
      <c r="A15" s="20" t="s">
        <v>11</v>
      </c>
      <c r="B15" s="21" t="s">
        <v>11</v>
      </c>
      <c r="C15" s="22" t="s">
        <v>46</v>
      </c>
      <c r="D15" s="22" t="s">
        <v>47</v>
      </c>
      <c r="E15" s="21">
        <v>4.0</v>
      </c>
      <c r="F15" s="23" t="s">
        <v>14</v>
      </c>
      <c r="G15" s="43" t="s">
        <v>48</v>
      </c>
      <c r="H15" s="8"/>
      <c r="I15" s="8"/>
      <c r="J15" s="8"/>
      <c r="K15" s="9"/>
      <c r="L15" s="22"/>
    </row>
    <row r="16">
      <c r="A16" s="27" t="s">
        <v>11</v>
      </c>
      <c r="B16" s="28" t="s">
        <v>11</v>
      </c>
      <c r="C16" s="29" t="s">
        <v>49</v>
      </c>
      <c r="D16" s="29" t="s">
        <v>50</v>
      </c>
      <c r="E16" s="28">
        <v>5.0</v>
      </c>
      <c r="F16" s="23" t="s">
        <v>14</v>
      </c>
      <c r="G16" s="15"/>
      <c r="H16" s="16" t="s">
        <v>15</v>
      </c>
      <c r="I16" s="16" t="s">
        <v>16</v>
      </c>
      <c r="J16" s="16" t="s">
        <v>17</v>
      </c>
      <c r="K16" s="17" t="s">
        <v>18</v>
      </c>
      <c r="L16" s="22"/>
    </row>
    <row r="17">
      <c r="A17" s="11" t="s">
        <v>11</v>
      </c>
      <c r="B17" s="12" t="s">
        <v>11</v>
      </c>
      <c r="C17" s="22" t="s">
        <v>51</v>
      </c>
      <c r="D17" s="13" t="s">
        <v>52</v>
      </c>
      <c r="E17" s="12">
        <v>5.0</v>
      </c>
      <c r="F17" s="23" t="s">
        <v>14</v>
      </c>
      <c r="G17" s="30" t="s">
        <v>53</v>
      </c>
      <c r="H17" s="31">
        <f t="shared" ref="H17:I17" si="5">COUNTA(UNIQUE(B67:B92))</f>
        <v>9</v>
      </c>
      <c r="I17" s="31">
        <f t="shared" si="5"/>
        <v>26</v>
      </c>
      <c r="J17" s="31">
        <f>SUM(E67:E92)</f>
        <v>85</v>
      </c>
      <c r="K17" s="32">
        <f>(J17 * 100)/B4</f>
        <v>21.57360406</v>
      </c>
      <c r="L17" s="22"/>
    </row>
    <row r="18">
      <c r="A18" s="20" t="s">
        <v>11</v>
      </c>
      <c r="B18" s="21" t="s">
        <v>11</v>
      </c>
      <c r="C18" s="22" t="s">
        <v>54</v>
      </c>
      <c r="D18" s="22" t="s">
        <v>55</v>
      </c>
      <c r="E18" s="21">
        <v>3.0</v>
      </c>
      <c r="F18" s="23" t="s">
        <v>14</v>
      </c>
      <c r="G18" s="33" t="s">
        <v>56</v>
      </c>
      <c r="H18" s="44">
        <f t="shared" ref="H18:K18" si="6">SUM(H17)</f>
        <v>9</v>
      </c>
      <c r="I18" s="44">
        <f t="shared" si="6"/>
        <v>26</v>
      </c>
      <c r="J18" s="44">
        <f t="shared" si="6"/>
        <v>85</v>
      </c>
      <c r="K18" s="45">
        <f t="shared" si="6"/>
        <v>21.57360406</v>
      </c>
      <c r="L18" s="22"/>
    </row>
    <row r="19">
      <c r="A19" s="11" t="s">
        <v>11</v>
      </c>
      <c r="B19" s="12" t="s">
        <v>11</v>
      </c>
      <c r="C19" s="13" t="s">
        <v>57</v>
      </c>
      <c r="D19" s="13" t="s">
        <v>58</v>
      </c>
      <c r="E19" s="12">
        <v>4.0</v>
      </c>
      <c r="F19" s="23" t="s">
        <v>14</v>
      </c>
      <c r="G19" s="46" t="s">
        <v>59</v>
      </c>
      <c r="H19" s="8"/>
      <c r="I19" s="8"/>
      <c r="J19" s="8"/>
      <c r="K19" s="9"/>
      <c r="L19" s="22"/>
    </row>
    <row r="20">
      <c r="A20" s="27" t="s">
        <v>11</v>
      </c>
      <c r="B20" s="28" t="s">
        <v>11</v>
      </c>
      <c r="C20" s="29" t="s">
        <v>60</v>
      </c>
      <c r="D20" s="29" t="s">
        <v>61</v>
      </c>
      <c r="E20" s="28">
        <v>3.0</v>
      </c>
      <c r="F20" s="23" t="s">
        <v>14</v>
      </c>
      <c r="G20" s="15"/>
      <c r="H20" s="16" t="s">
        <v>15</v>
      </c>
      <c r="I20" s="16" t="s">
        <v>16</v>
      </c>
      <c r="J20" s="16" t="s">
        <v>17</v>
      </c>
      <c r="K20" s="17" t="s">
        <v>18</v>
      </c>
    </row>
    <row r="21">
      <c r="A21" s="47" t="s">
        <v>62</v>
      </c>
      <c r="B21" s="48" t="s">
        <v>63</v>
      </c>
      <c r="C21" s="22" t="s">
        <v>64</v>
      </c>
      <c r="D21" s="49" t="s">
        <v>65</v>
      </c>
      <c r="E21" s="48">
        <v>4.0</v>
      </c>
      <c r="F21" s="23" t="s">
        <v>14</v>
      </c>
      <c r="G21" s="30" t="s">
        <v>66</v>
      </c>
      <c r="H21" s="25">
        <f t="shared" ref="H21:I21" si="7">COUNTA(UNIQUE(B93:B112))</f>
        <v>8</v>
      </c>
      <c r="I21" s="25">
        <f t="shared" si="7"/>
        <v>20</v>
      </c>
      <c r="J21" s="25">
        <f>SUM(E93:E112)</f>
        <v>64</v>
      </c>
      <c r="K21" s="26">
        <f>(J21 * 100)/B4</f>
        <v>16.24365482</v>
      </c>
    </row>
    <row r="22">
      <c r="A22" s="47" t="s">
        <v>62</v>
      </c>
      <c r="B22" s="48" t="s">
        <v>63</v>
      </c>
      <c r="C22" s="22" t="s">
        <v>67</v>
      </c>
      <c r="D22" s="49" t="s">
        <v>68</v>
      </c>
      <c r="E22" s="48">
        <v>3.0</v>
      </c>
      <c r="F22" s="23" t="s">
        <v>14</v>
      </c>
      <c r="G22" s="30" t="s">
        <v>69</v>
      </c>
      <c r="H22" s="31">
        <f t="shared" ref="H22:I22" si="8">COUNTA(UNIQUE(B113:B128))</f>
        <v>6</v>
      </c>
      <c r="I22" s="31">
        <f t="shared" si="8"/>
        <v>11</v>
      </c>
      <c r="J22" s="31">
        <f>SUM(E113:E128)</f>
        <v>33</v>
      </c>
      <c r="K22" s="32">
        <f>(J22 * 100)/B4</f>
        <v>8.375634518</v>
      </c>
    </row>
    <row r="23" ht="15.75" customHeight="1">
      <c r="A23" s="47" t="s">
        <v>62</v>
      </c>
      <c r="B23" s="48" t="s">
        <v>63</v>
      </c>
      <c r="C23" s="22" t="s">
        <v>70</v>
      </c>
      <c r="D23" s="49" t="s">
        <v>71</v>
      </c>
      <c r="E23" s="48">
        <v>2.0</v>
      </c>
      <c r="F23" s="23" t="s">
        <v>14</v>
      </c>
      <c r="G23" s="33" t="s">
        <v>72</v>
      </c>
      <c r="H23" s="50">
        <f t="shared" ref="H23:K23" si="9">SUM(H21,H22)</f>
        <v>14</v>
      </c>
      <c r="I23" s="50">
        <f t="shared" si="9"/>
        <v>31</v>
      </c>
      <c r="J23" s="50">
        <f t="shared" si="9"/>
        <v>97</v>
      </c>
      <c r="K23" s="51">
        <f t="shared" si="9"/>
        <v>24.61928934</v>
      </c>
    </row>
    <row r="24" ht="15.75" customHeight="1">
      <c r="A24" s="52" t="s">
        <v>62</v>
      </c>
      <c r="B24" s="53" t="s">
        <v>73</v>
      </c>
      <c r="C24" s="13" t="s">
        <v>74</v>
      </c>
      <c r="D24" s="54" t="s">
        <v>75</v>
      </c>
      <c r="E24" s="53">
        <v>4.0</v>
      </c>
      <c r="F24" s="23" t="s">
        <v>14</v>
      </c>
      <c r="G24" s="55" t="s">
        <v>76</v>
      </c>
      <c r="H24" s="8"/>
      <c r="I24" s="8"/>
      <c r="J24" s="8"/>
      <c r="K24" s="9"/>
    </row>
    <row r="25" ht="15.75" customHeight="1">
      <c r="A25" s="56" t="s">
        <v>62</v>
      </c>
      <c r="B25" s="57" t="s">
        <v>73</v>
      </c>
      <c r="C25" s="29" t="s">
        <v>77</v>
      </c>
      <c r="D25" s="58" t="s">
        <v>78</v>
      </c>
      <c r="E25" s="57">
        <v>2.0</v>
      </c>
      <c r="F25" s="23" t="s">
        <v>14</v>
      </c>
      <c r="G25" s="59" t="s">
        <v>10</v>
      </c>
      <c r="H25" s="16" t="s">
        <v>15</v>
      </c>
      <c r="I25" s="16" t="s">
        <v>16</v>
      </c>
      <c r="J25" s="16" t="s">
        <v>17</v>
      </c>
      <c r="K25" s="17" t="s">
        <v>18</v>
      </c>
    </row>
    <row r="26" ht="15.75" customHeight="1">
      <c r="A26" s="60" t="s">
        <v>62</v>
      </c>
      <c r="B26" s="53" t="s">
        <v>79</v>
      </c>
      <c r="C26" s="13" t="s">
        <v>80</v>
      </c>
      <c r="D26" s="54" t="s">
        <v>81</v>
      </c>
      <c r="E26" s="53">
        <v>5.0</v>
      </c>
      <c r="F26" s="23" t="s">
        <v>26</v>
      </c>
      <c r="G26" s="61"/>
      <c r="H26" s="62">
        <f t="shared" ref="H26:K26" si="10">SUM(H23,H18,H14,H10)</f>
        <v>38</v>
      </c>
      <c r="I26" s="62">
        <f t="shared" si="10"/>
        <v>117</v>
      </c>
      <c r="J26" s="62">
        <f t="shared" si="10"/>
        <v>394</v>
      </c>
      <c r="K26" s="63">
        <f t="shared" si="10"/>
        <v>100</v>
      </c>
    </row>
    <row r="27" ht="15.75" customHeight="1">
      <c r="A27" s="47" t="s">
        <v>62</v>
      </c>
      <c r="B27" s="48" t="s">
        <v>79</v>
      </c>
      <c r="C27" s="22" t="s">
        <v>82</v>
      </c>
      <c r="D27" s="49" t="s">
        <v>83</v>
      </c>
      <c r="E27" s="48">
        <v>5.0</v>
      </c>
      <c r="F27" s="23" t="s">
        <v>26</v>
      </c>
    </row>
    <row r="28" ht="15.75" customHeight="1">
      <c r="A28" s="47" t="s">
        <v>62</v>
      </c>
      <c r="B28" s="48" t="s">
        <v>79</v>
      </c>
      <c r="C28" s="22" t="s">
        <v>84</v>
      </c>
      <c r="D28" s="49" t="s">
        <v>85</v>
      </c>
      <c r="E28" s="48">
        <v>3.0</v>
      </c>
      <c r="F28" s="23" t="s">
        <v>26</v>
      </c>
    </row>
    <row r="29" ht="15.75" customHeight="1">
      <c r="A29" s="47" t="s">
        <v>62</v>
      </c>
      <c r="B29" s="48" t="s">
        <v>79</v>
      </c>
      <c r="C29" s="22" t="s">
        <v>86</v>
      </c>
      <c r="D29" s="49" t="s">
        <v>87</v>
      </c>
      <c r="E29" s="48">
        <v>5.0</v>
      </c>
      <c r="F29" s="23" t="s">
        <v>14</v>
      </c>
    </row>
    <row r="30" ht="15.75" customHeight="1">
      <c r="A30" s="47" t="s">
        <v>62</v>
      </c>
      <c r="B30" s="48" t="s">
        <v>79</v>
      </c>
      <c r="C30" s="22" t="s">
        <v>88</v>
      </c>
      <c r="D30" s="49" t="s">
        <v>89</v>
      </c>
      <c r="E30" s="48">
        <v>4.0</v>
      </c>
      <c r="F30" s="23" t="s">
        <v>14</v>
      </c>
      <c r="G30" s="64" t="s">
        <v>9</v>
      </c>
      <c r="H30" s="8"/>
      <c r="I30" s="8"/>
      <c r="J30" s="9"/>
    </row>
    <row r="31" ht="15.75" customHeight="1">
      <c r="A31" s="56" t="s">
        <v>62</v>
      </c>
      <c r="B31" s="57" t="s">
        <v>79</v>
      </c>
      <c r="C31" s="29" t="s">
        <v>90</v>
      </c>
      <c r="D31" s="58" t="s">
        <v>91</v>
      </c>
      <c r="E31" s="57">
        <v>2.0</v>
      </c>
      <c r="F31" s="23" t="s">
        <v>26</v>
      </c>
      <c r="G31" s="65">
        <f>SUM(E7:E31)</f>
        <v>110</v>
      </c>
      <c r="H31" s="66" t="s">
        <v>17</v>
      </c>
      <c r="I31" s="67">
        <f>(G31 * 100)/B4</f>
        <v>27.91878173</v>
      </c>
      <c r="J31" s="68" t="s">
        <v>92</v>
      </c>
    </row>
    <row r="32" ht="15.75" customHeight="1">
      <c r="A32" s="52" t="s">
        <v>62</v>
      </c>
      <c r="B32" s="53" t="s">
        <v>93</v>
      </c>
      <c r="C32" s="13" t="s">
        <v>94</v>
      </c>
      <c r="D32" s="54" t="s">
        <v>95</v>
      </c>
      <c r="E32" s="53">
        <v>4.0</v>
      </c>
      <c r="F32" s="69" t="s">
        <v>14</v>
      </c>
    </row>
    <row r="33" ht="15.75" customHeight="1">
      <c r="A33" s="47" t="s">
        <v>62</v>
      </c>
      <c r="B33" s="48" t="s">
        <v>93</v>
      </c>
      <c r="C33" s="22" t="s">
        <v>96</v>
      </c>
      <c r="D33" s="49" t="s">
        <v>97</v>
      </c>
      <c r="E33" s="48">
        <v>3.0</v>
      </c>
      <c r="F33" s="69" t="s">
        <v>98</v>
      </c>
    </row>
    <row r="34" ht="15.75" customHeight="1">
      <c r="A34" s="56" t="s">
        <v>62</v>
      </c>
      <c r="B34" s="57" t="s">
        <v>93</v>
      </c>
      <c r="C34" s="29" t="s">
        <v>99</v>
      </c>
      <c r="D34" s="58" t="s">
        <v>100</v>
      </c>
      <c r="E34" s="57">
        <v>2.0</v>
      </c>
      <c r="F34" s="69" t="s">
        <v>14</v>
      </c>
    </row>
    <row r="35" ht="15.75" customHeight="1">
      <c r="A35" s="52" t="s">
        <v>62</v>
      </c>
      <c r="B35" s="53" t="s">
        <v>101</v>
      </c>
      <c r="C35" s="22" t="s">
        <v>102</v>
      </c>
      <c r="D35" s="54" t="s">
        <v>103</v>
      </c>
      <c r="E35" s="53">
        <v>3.0</v>
      </c>
      <c r="F35" s="69" t="s">
        <v>14</v>
      </c>
    </row>
    <row r="36" ht="15.75" customHeight="1">
      <c r="A36" s="56" t="s">
        <v>62</v>
      </c>
      <c r="B36" s="57" t="s">
        <v>101</v>
      </c>
      <c r="C36" s="22" t="s">
        <v>104</v>
      </c>
      <c r="D36" s="58" t="s">
        <v>105</v>
      </c>
      <c r="E36" s="57">
        <v>2.0</v>
      </c>
      <c r="F36" s="69" t="s">
        <v>98</v>
      </c>
    </row>
    <row r="37" ht="15.75" customHeight="1">
      <c r="A37" s="52" t="s">
        <v>62</v>
      </c>
      <c r="B37" s="53" t="s">
        <v>106</v>
      </c>
      <c r="C37" s="13" t="s">
        <v>107</v>
      </c>
      <c r="D37" s="54" t="s">
        <v>108</v>
      </c>
      <c r="E37" s="53">
        <v>4.0</v>
      </c>
      <c r="F37" s="69" t="s">
        <v>14</v>
      </c>
    </row>
    <row r="38" ht="15.75" customHeight="1">
      <c r="A38" s="47" t="s">
        <v>62</v>
      </c>
      <c r="B38" s="48" t="s">
        <v>106</v>
      </c>
      <c r="C38" s="22" t="s">
        <v>109</v>
      </c>
      <c r="D38" s="49" t="s">
        <v>110</v>
      </c>
      <c r="E38" s="48">
        <v>4.0</v>
      </c>
      <c r="F38" s="69" t="s">
        <v>98</v>
      </c>
    </row>
    <row r="39" ht="15.75" customHeight="1">
      <c r="A39" s="47" t="s">
        <v>62</v>
      </c>
      <c r="B39" s="48" t="s">
        <v>106</v>
      </c>
      <c r="C39" s="22" t="s">
        <v>111</v>
      </c>
      <c r="D39" s="49" t="s">
        <v>112</v>
      </c>
      <c r="E39" s="48">
        <v>2.0</v>
      </c>
      <c r="F39" s="69" t="s">
        <v>98</v>
      </c>
    </row>
    <row r="40" ht="15.75" customHeight="1">
      <c r="A40" s="56" t="s">
        <v>62</v>
      </c>
      <c r="B40" s="57" t="s">
        <v>106</v>
      </c>
      <c r="C40" s="29" t="s">
        <v>113</v>
      </c>
      <c r="D40" s="58" t="s">
        <v>114</v>
      </c>
      <c r="E40" s="57">
        <v>2.0</v>
      </c>
      <c r="F40" s="69" t="s">
        <v>98</v>
      </c>
    </row>
    <row r="41" ht="15.75" customHeight="1">
      <c r="A41" s="52" t="s">
        <v>62</v>
      </c>
      <c r="B41" s="53" t="s">
        <v>115</v>
      </c>
      <c r="C41" s="22" t="s">
        <v>116</v>
      </c>
      <c r="D41" s="54" t="s">
        <v>117</v>
      </c>
      <c r="E41" s="53">
        <v>3.0</v>
      </c>
      <c r="F41" s="69" t="s">
        <v>14</v>
      </c>
    </row>
    <row r="42" ht="15.75" customHeight="1">
      <c r="A42" s="47" t="s">
        <v>62</v>
      </c>
      <c r="B42" s="48" t="s">
        <v>115</v>
      </c>
      <c r="C42" s="22" t="s">
        <v>118</v>
      </c>
      <c r="D42" s="49" t="s">
        <v>119</v>
      </c>
      <c r="E42" s="48">
        <v>3.0</v>
      </c>
      <c r="F42" s="69" t="s">
        <v>98</v>
      </c>
    </row>
    <row r="43" ht="15.75" customHeight="1">
      <c r="A43" s="56" t="s">
        <v>62</v>
      </c>
      <c r="B43" s="57" t="s">
        <v>115</v>
      </c>
      <c r="C43" s="22" t="s">
        <v>120</v>
      </c>
      <c r="D43" s="58" t="s">
        <v>121</v>
      </c>
      <c r="E43" s="57">
        <v>2.0</v>
      </c>
      <c r="F43" s="69" t="s">
        <v>98</v>
      </c>
    </row>
    <row r="44" ht="15.75" customHeight="1">
      <c r="A44" s="52" t="s">
        <v>62</v>
      </c>
      <c r="B44" s="53" t="s">
        <v>122</v>
      </c>
      <c r="C44" s="13" t="s">
        <v>123</v>
      </c>
      <c r="D44" s="54" t="s">
        <v>124</v>
      </c>
      <c r="E44" s="53">
        <v>2.0</v>
      </c>
      <c r="F44" s="69" t="s">
        <v>14</v>
      </c>
    </row>
    <row r="45" ht="15.75" customHeight="1">
      <c r="A45" s="56" t="s">
        <v>62</v>
      </c>
      <c r="B45" s="57" t="s">
        <v>122</v>
      </c>
      <c r="C45" s="29" t="s">
        <v>125</v>
      </c>
      <c r="D45" s="58" t="s">
        <v>126</v>
      </c>
      <c r="E45" s="57">
        <v>2.0</v>
      </c>
      <c r="F45" s="69" t="s">
        <v>26</v>
      </c>
    </row>
    <row r="46" ht="15.75" customHeight="1">
      <c r="A46" s="52" t="s">
        <v>62</v>
      </c>
      <c r="B46" s="53" t="s">
        <v>127</v>
      </c>
      <c r="C46" s="22" t="s">
        <v>128</v>
      </c>
      <c r="D46" s="54" t="s">
        <v>129</v>
      </c>
      <c r="E46" s="53">
        <v>4.0</v>
      </c>
      <c r="F46" s="69" t="s">
        <v>14</v>
      </c>
    </row>
    <row r="47" ht="15.75" customHeight="1">
      <c r="A47" s="47" t="s">
        <v>62</v>
      </c>
      <c r="B47" s="48" t="s">
        <v>127</v>
      </c>
      <c r="C47" s="22" t="s">
        <v>130</v>
      </c>
      <c r="D47" s="49" t="s">
        <v>131</v>
      </c>
      <c r="E47" s="48">
        <v>4.0</v>
      </c>
      <c r="F47" s="69" t="s">
        <v>26</v>
      </c>
    </row>
    <row r="48" ht="15.75" customHeight="1">
      <c r="A48" s="47" t="s">
        <v>62</v>
      </c>
      <c r="B48" s="48" t="s">
        <v>127</v>
      </c>
      <c r="C48" s="22" t="s">
        <v>132</v>
      </c>
      <c r="D48" s="49" t="s">
        <v>133</v>
      </c>
      <c r="E48" s="48">
        <v>2.0</v>
      </c>
      <c r="F48" s="69" t="s">
        <v>26</v>
      </c>
    </row>
    <row r="49" ht="15.75" customHeight="1">
      <c r="A49" s="56" t="s">
        <v>62</v>
      </c>
      <c r="B49" s="57" t="s">
        <v>127</v>
      </c>
      <c r="C49" s="22" t="s">
        <v>134</v>
      </c>
      <c r="D49" s="58" t="s">
        <v>135</v>
      </c>
      <c r="E49" s="57">
        <v>2.0</v>
      </c>
      <c r="F49" s="69" t="s">
        <v>26</v>
      </c>
    </row>
    <row r="50" ht="15.75" customHeight="1">
      <c r="A50" s="52" t="s">
        <v>62</v>
      </c>
      <c r="B50" s="53" t="s">
        <v>136</v>
      </c>
      <c r="C50" s="13" t="s">
        <v>137</v>
      </c>
      <c r="D50" s="54" t="s">
        <v>138</v>
      </c>
      <c r="E50" s="53">
        <v>3.0</v>
      </c>
      <c r="F50" s="69" t="s">
        <v>14</v>
      </c>
    </row>
    <row r="51" ht="15.75" customHeight="1">
      <c r="A51" s="47" t="s">
        <v>62</v>
      </c>
      <c r="B51" s="48" t="s">
        <v>136</v>
      </c>
      <c r="C51" s="22" t="s">
        <v>139</v>
      </c>
      <c r="D51" s="49" t="s">
        <v>140</v>
      </c>
      <c r="E51" s="48">
        <v>3.0</v>
      </c>
      <c r="F51" s="69" t="s">
        <v>26</v>
      </c>
    </row>
    <row r="52" ht="15.75" customHeight="1">
      <c r="A52" s="56" t="s">
        <v>62</v>
      </c>
      <c r="B52" s="57" t="s">
        <v>136</v>
      </c>
      <c r="C52" s="29" t="s">
        <v>141</v>
      </c>
      <c r="D52" s="58" t="s">
        <v>142</v>
      </c>
      <c r="E52" s="57">
        <v>2.0</v>
      </c>
      <c r="F52" s="69" t="s">
        <v>26</v>
      </c>
    </row>
    <row r="53" ht="15.75" customHeight="1">
      <c r="A53" s="52" t="s">
        <v>62</v>
      </c>
      <c r="B53" s="53" t="s">
        <v>143</v>
      </c>
      <c r="C53" s="22" t="s">
        <v>144</v>
      </c>
      <c r="D53" s="54" t="s">
        <v>145</v>
      </c>
      <c r="E53" s="53">
        <v>2.0</v>
      </c>
      <c r="F53" s="69" t="s">
        <v>26</v>
      </c>
    </row>
    <row r="54" ht="15.75" customHeight="1">
      <c r="A54" s="56" t="s">
        <v>62</v>
      </c>
      <c r="B54" s="57" t="s">
        <v>143</v>
      </c>
      <c r="C54" s="22" t="s">
        <v>146</v>
      </c>
      <c r="D54" s="58" t="s">
        <v>147</v>
      </c>
      <c r="E54" s="57">
        <v>2.0</v>
      </c>
      <c r="F54" s="69" t="s">
        <v>26</v>
      </c>
    </row>
    <row r="55" ht="15.75" customHeight="1">
      <c r="A55" s="52" t="s">
        <v>62</v>
      </c>
      <c r="B55" s="53" t="s">
        <v>148</v>
      </c>
      <c r="C55" s="13" t="s">
        <v>149</v>
      </c>
      <c r="D55" s="54" t="s">
        <v>150</v>
      </c>
      <c r="E55" s="53">
        <v>4.0</v>
      </c>
      <c r="F55" s="69" t="s">
        <v>14</v>
      </c>
    </row>
    <row r="56" ht="15.75" customHeight="1">
      <c r="A56" s="47" t="s">
        <v>62</v>
      </c>
      <c r="B56" s="48" t="s">
        <v>148</v>
      </c>
      <c r="C56" s="22" t="s">
        <v>151</v>
      </c>
      <c r="D56" s="49" t="s">
        <v>152</v>
      </c>
      <c r="E56" s="48">
        <v>4.0</v>
      </c>
      <c r="F56" s="69" t="s">
        <v>98</v>
      </c>
    </row>
    <row r="57" ht="15.75" customHeight="1">
      <c r="A57" s="56" t="s">
        <v>62</v>
      </c>
      <c r="B57" s="57" t="s">
        <v>148</v>
      </c>
      <c r="C57" s="29" t="s">
        <v>153</v>
      </c>
      <c r="D57" s="58" t="s">
        <v>154</v>
      </c>
      <c r="E57" s="57">
        <v>2.0</v>
      </c>
      <c r="F57" s="69" t="s">
        <v>98</v>
      </c>
    </row>
    <row r="58" ht="15.75" customHeight="1">
      <c r="A58" s="52" t="s">
        <v>62</v>
      </c>
      <c r="B58" s="53" t="s">
        <v>155</v>
      </c>
      <c r="C58" s="22" t="s">
        <v>156</v>
      </c>
      <c r="D58" s="54" t="s">
        <v>157</v>
      </c>
      <c r="E58" s="53">
        <v>3.0</v>
      </c>
      <c r="F58" s="69" t="s">
        <v>14</v>
      </c>
    </row>
    <row r="59" ht="15.75" customHeight="1">
      <c r="A59" s="47" t="s">
        <v>62</v>
      </c>
      <c r="B59" s="48" t="s">
        <v>155</v>
      </c>
      <c r="C59" s="22" t="s">
        <v>158</v>
      </c>
      <c r="D59" s="49" t="s">
        <v>159</v>
      </c>
      <c r="E59" s="48">
        <v>3.0</v>
      </c>
      <c r="F59" s="69" t="s">
        <v>98</v>
      </c>
    </row>
    <row r="60" ht="15.75" customHeight="1">
      <c r="A60" s="56" t="s">
        <v>62</v>
      </c>
      <c r="B60" s="57" t="s">
        <v>155</v>
      </c>
      <c r="C60" s="22" t="s">
        <v>160</v>
      </c>
      <c r="D60" s="58" t="s">
        <v>161</v>
      </c>
      <c r="E60" s="57">
        <v>2.0</v>
      </c>
      <c r="F60" s="69" t="s">
        <v>98</v>
      </c>
    </row>
    <row r="61" ht="15.75" customHeight="1">
      <c r="A61" s="52" t="s">
        <v>62</v>
      </c>
      <c r="B61" s="53" t="s">
        <v>162</v>
      </c>
      <c r="C61" s="13" t="s">
        <v>163</v>
      </c>
      <c r="D61" s="54" t="s">
        <v>164</v>
      </c>
      <c r="E61" s="53">
        <v>2.0</v>
      </c>
      <c r="F61" s="69" t="s">
        <v>14</v>
      </c>
    </row>
    <row r="62" ht="15.75" customHeight="1">
      <c r="A62" s="56" t="s">
        <v>62</v>
      </c>
      <c r="B62" s="57" t="s">
        <v>162</v>
      </c>
      <c r="C62" s="29" t="s">
        <v>165</v>
      </c>
      <c r="D62" s="58" t="s">
        <v>166</v>
      </c>
      <c r="E62" s="57">
        <v>2.0</v>
      </c>
      <c r="F62" s="69" t="s">
        <v>98</v>
      </c>
    </row>
    <row r="63" ht="15.75" customHeight="1">
      <c r="A63" s="52" t="s">
        <v>62</v>
      </c>
      <c r="B63" s="53" t="s">
        <v>167</v>
      </c>
      <c r="C63" s="22" t="s">
        <v>168</v>
      </c>
      <c r="D63" s="54" t="s">
        <v>169</v>
      </c>
      <c r="E63" s="53">
        <v>6.0</v>
      </c>
      <c r="F63" s="69" t="s">
        <v>14</v>
      </c>
    </row>
    <row r="64" ht="15.75" customHeight="1">
      <c r="A64" s="47" t="s">
        <v>62</v>
      </c>
      <c r="B64" s="48" t="s">
        <v>167</v>
      </c>
      <c r="C64" s="22" t="s">
        <v>170</v>
      </c>
      <c r="D64" s="49" t="s">
        <v>171</v>
      </c>
      <c r="E64" s="48">
        <v>4.0</v>
      </c>
      <c r="F64" s="69" t="s">
        <v>98</v>
      </c>
    </row>
    <row r="65" ht="15.75" customHeight="1">
      <c r="A65" s="47" t="s">
        <v>62</v>
      </c>
      <c r="B65" s="48" t="s">
        <v>167</v>
      </c>
      <c r="C65" s="22" t="s">
        <v>172</v>
      </c>
      <c r="D65" s="49" t="s">
        <v>173</v>
      </c>
      <c r="E65" s="48">
        <v>5.0</v>
      </c>
      <c r="F65" s="69" t="s">
        <v>98</v>
      </c>
      <c r="G65" s="70" t="s">
        <v>35</v>
      </c>
      <c r="H65" s="8"/>
      <c r="I65" s="8"/>
      <c r="J65" s="9"/>
    </row>
    <row r="66" ht="15.75" customHeight="1">
      <c r="A66" s="56" t="s">
        <v>62</v>
      </c>
      <c r="B66" s="57" t="s">
        <v>167</v>
      </c>
      <c r="C66" s="22" t="s">
        <v>174</v>
      </c>
      <c r="D66" s="58" t="s">
        <v>175</v>
      </c>
      <c r="E66" s="57">
        <v>3.0</v>
      </c>
      <c r="F66" s="69" t="s">
        <v>98</v>
      </c>
      <c r="G66" s="71">
        <f>SUM(E32:E66)</f>
        <v>102</v>
      </c>
      <c r="H66" s="72" t="s">
        <v>17</v>
      </c>
      <c r="I66" s="73">
        <f>(G66 * 100)/B4</f>
        <v>25.88832487</v>
      </c>
      <c r="J66" s="74" t="s">
        <v>92</v>
      </c>
    </row>
    <row r="67" ht="15.75" customHeight="1">
      <c r="A67" s="52" t="s">
        <v>176</v>
      </c>
      <c r="B67" s="53" t="s">
        <v>177</v>
      </c>
      <c r="C67" s="13" t="s">
        <v>178</v>
      </c>
      <c r="D67" s="54" t="s">
        <v>179</v>
      </c>
      <c r="E67" s="53">
        <v>4.0</v>
      </c>
      <c r="F67" s="75" t="s">
        <v>14</v>
      </c>
    </row>
    <row r="68" ht="15.75" customHeight="1">
      <c r="A68" s="47" t="s">
        <v>176</v>
      </c>
      <c r="B68" s="48" t="s">
        <v>177</v>
      </c>
      <c r="C68" s="22" t="s">
        <v>180</v>
      </c>
      <c r="D68" s="49" t="s">
        <v>181</v>
      </c>
      <c r="E68" s="48">
        <v>3.0</v>
      </c>
      <c r="F68" s="75" t="s">
        <v>14</v>
      </c>
    </row>
    <row r="69" ht="15.75" customHeight="1">
      <c r="A69" s="56" t="s">
        <v>176</v>
      </c>
      <c r="B69" s="57" t="s">
        <v>177</v>
      </c>
      <c r="C69" s="29" t="s">
        <v>182</v>
      </c>
      <c r="D69" s="58" t="s">
        <v>71</v>
      </c>
      <c r="E69" s="57">
        <v>2.0</v>
      </c>
      <c r="F69" s="75" t="s">
        <v>14</v>
      </c>
    </row>
    <row r="70" ht="15.75" customHeight="1">
      <c r="A70" s="47" t="s">
        <v>176</v>
      </c>
      <c r="B70" s="48" t="s">
        <v>183</v>
      </c>
      <c r="C70" s="22" t="s">
        <v>184</v>
      </c>
      <c r="D70" s="49" t="s">
        <v>185</v>
      </c>
      <c r="E70" s="48">
        <v>4.0</v>
      </c>
      <c r="F70" s="75" t="s">
        <v>26</v>
      </c>
    </row>
    <row r="71" ht="15.75" customHeight="1">
      <c r="A71" s="47" t="s">
        <v>176</v>
      </c>
      <c r="B71" s="48" t="s">
        <v>183</v>
      </c>
      <c r="C71" s="22" t="s">
        <v>186</v>
      </c>
      <c r="D71" s="49" t="s">
        <v>187</v>
      </c>
      <c r="E71" s="48">
        <v>3.0</v>
      </c>
      <c r="F71" s="75" t="s">
        <v>26</v>
      </c>
    </row>
    <row r="72" ht="15.75" customHeight="1">
      <c r="A72" s="47" t="s">
        <v>176</v>
      </c>
      <c r="B72" s="48" t="s">
        <v>183</v>
      </c>
      <c r="C72" s="22" t="s">
        <v>188</v>
      </c>
      <c r="D72" s="49" t="s">
        <v>189</v>
      </c>
      <c r="E72" s="48">
        <v>2.0</v>
      </c>
      <c r="F72" s="75" t="s">
        <v>98</v>
      </c>
    </row>
    <row r="73" ht="15.75" customHeight="1">
      <c r="A73" s="52" t="s">
        <v>176</v>
      </c>
      <c r="B73" s="53" t="s">
        <v>190</v>
      </c>
      <c r="C73" s="13" t="s">
        <v>191</v>
      </c>
      <c r="D73" s="54" t="s">
        <v>192</v>
      </c>
      <c r="E73" s="53">
        <v>3.0</v>
      </c>
      <c r="F73" s="75" t="s">
        <v>98</v>
      </c>
    </row>
    <row r="74" ht="15.75" customHeight="1">
      <c r="A74" s="47" t="s">
        <v>176</v>
      </c>
      <c r="B74" s="48" t="s">
        <v>190</v>
      </c>
      <c r="C74" s="22" t="s">
        <v>193</v>
      </c>
      <c r="D74" s="49" t="s">
        <v>194</v>
      </c>
      <c r="E74" s="48">
        <v>3.0</v>
      </c>
      <c r="F74" s="75" t="s">
        <v>98</v>
      </c>
    </row>
    <row r="75" ht="15.75" customHeight="1">
      <c r="A75" s="56" t="s">
        <v>176</v>
      </c>
      <c r="B75" s="57" t="s">
        <v>190</v>
      </c>
      <c r="C75" s="29" t="s">
        <v>195</v>
      </c>
      <c r="D75" s="58" t="s">
        <v>196</v>
      </c>
      <c r="E75" s="57">
        <v>3.0</v>
      </c>
      <c r="F75" s="75" t="s">
        <v>98</v>
      </c>
    </row>
    <row r="76" ht="15.75" customHeight="1">
      <c r="A76" s="47" t="s">
        <v>176</v>
      </c>
      <c r="B76" s="48" t="s">
        <v>197</v>
      </c>
      <c r="C76" s="22" t="s">
        <v>198</v>
      </c>
      <c r="D76" s="49" t="s">
        <v>199</v>
      </c>
      <c r="E76" s="48">
        <v>3.0</v>
      </c>
      <c r="F76" s="75" t="s">
        <v>14</v>
      </c>
    </row>
    <row r="77" ht="15.75" customHeight="1">
      <c r="A77" s="47" t="s">
        <v>176</v>
      </c>
      <c r="B77" s="48" t="s">
        <v>197</v>
      </c>
      <c r="C77" s="22" t="s">
        <v>200</v>
      </c>
      <c r="D77" s="49" t="s">
        <v>201</v>
      </c>
      <c r="E77" s="48">
        <v>2.0</v>
      </c>
      <c r="F77" s="75" t="s">
        <v>14</v>
      </c>
    </row>
    <row r="78" ht="15.75" customHeight="1">
      <c r="A78" s="52" t="s">
        <v>176</v>
      </c>
      <c r="B78" s="53" t="s">
        <v>202</v>
      </c>
      <c r="C78" s="13" t="s">
        <v>203</v>
      </c>
      <c r="D78" s="54" t="s">
        <v>204</v>
      </c>
      <c r="E78" s="53">
        <v>6.0</v>
      </c>
      <c r="F78" s="75" t="s">
        <v>14</v>
      </c>
    </row>
    <row r="79" ht="15.75" customHeight="1">
      <c r="A79" s="47" t="s">
        <v>176</v>
      </c>
      <c r="B79" s="48" t="s">
        <v>202</v>
      </c>
      <c r="C79" s="22" t="s">
        <v>205</v>
      </c>
      <c r="D79" s="49" t="s">
        <v>206</v>
      </c>
      <c r="E79" s="48">
        <v>5.0</v>
      </c>
      <c r="F79" s="75" t="s">
        <v>98</v>
      </c>
    </row>
    <row r="80" ht="15.75" customHeight="1">
      <c r="A80" s="56" t="s">
        <v>176</v>
      </c>
      <c r="B80" s="57" t="s">
        <v>202</v>
      </c>
      <c r="C80" s="29" t="s">
        <v>207</v>
      </c>
      <c r="D80" s="58" t="s">
        <v>208</v>
      </c>
      <c r="E80" s="57">
        <v>3.0</v>
      </c>
      <c r="F80" s="75" t="s">
        <v>14</v>
      </c>
    </row>
    <row r="81" ht="15.75" customHeight="1">
      <c r="A81" s="76" t="s">
        <v>176</v>
      </c>
      <c r="B81" s="77" t="s">
        <v>209</v>
      </c>
      <c r="C81" s="22" t="s">
        <v>210</v>
      </c>
      <c r="D81" s="78" t="s">
        <v>211</v>
      </c>
      <c r="E81" s="77">
        <v>4.0</v>
      </c>
      <c r="F81" s="75" t="s">
        <v>14</v>
      </c>
    </row>
    <row r="82" ht="15.75" customHeight="1">
      <c r="A82" s="52" t="s">
        <v>176</v>
      </c>
      <c r="B82" s="53" t="s">
        <v>209</v>
      </c>
      <c r="C82" s="13" t="s">
        <v>212</v>
      </c>
      <c r="D82" s="54" t="s">
        <v>213</v>
      </c>
      <c r="E82" s="53">
        <v>4.0</v>
      </c>
      <c r="F82" s="75" t="s">
        <v>14</v>
      </c>
    </row>
    <row r="83" ht="15.75" customHeight="1">
      <c r="A83" s="56" t="s">
        <v>176</v>
      </c>
      <c r="B83" s="57" t="s">
        <v>209</v>
      </c>
      <c r="C83" s="29" t="s">
        <v>214</v>
      </c>
      <c r="D83" s="58" t="s">
        <v>215</v>
      </c>
      <c r="E83" s="57">
        <v>2.0</v>
      </c>
      <c r="F83" s="75" t="s">
        <v>26</v>
      </c>
    </row>
    <row r="84" ht="15.75" customHeight="1">
      <c r="A84" s="52" t="s">
        <v>176</v>
      </c>
      <c r="B84" s="53" t="s">
        <v>216</v>
      </c>
      <c r="C84" s="22" t="s">
        <v>217</v>
      </c>
      <c r="D84" s="54" t="s">
        <v>218</v>
      </c>
      <c r="E84" s="53">
        <v>4.0</v>
      </c>
      <c r="F84" s="75" t="s">
        <v>26</v>
      </c>
    </row>
    <row r="85" ht="15.75" customHeight="1">
      <c r="A85" s="47" t="s">
        <v>176</v>
      </c>
      <c r="B85" s="48" t="s">
        <v>216</v>
      </c>
      <c r="C85" s="22" t="s">
        <v>219</v>
      </c>
      <c r="D85" s="49" t="s">
        <v>220</v>
      </c>
      <c r="E85" s="48">
        <v>3.0</v>
      </c>
      <c r="F85" s="75" t="s">
        <v>14</v>
      </c>
    </row>
    <row r="86" ht="15.75" customHeight="1">
      <c r="A86" s="56" t="s">
        <v>176</v>
      </c>
      <c r="B86" s="57" t="s">
        <v>216</v>
      </c>
      <c r="C86" s="22" t="s">
        <v>221</v>
      </c>
      <c r="D86" s="58" t="s">
        <v>222</v>
      </c>
      <c r="E86" s="57">
        <v>2.0</v>
      </c>
      <c r="F86" s="75" t="s">
        <v>14</v>
      </c>
    </row>
    <row r="87" ht="15.75" customHeight="1">
      <c r="A87" s="52" t="s">
        <v>176</v>
      </c>
      <c r="B87" s="53" t="s">
        <v>223</v>
      </c>
      <c r="C87" s="13" t="s">
        <v>224</v>
      </c>
      <c r="D87" s="54" t="s">
        <v>225</v>
      </c>
      <c r="E87" s="53">
        <v>4.0</v>
      </c>
      <c r="F87" s="75" t="s">
        <v>14</v>
      </c>
    </row>
    <row r="88" ht="15.75" customHeight="1">
      <c r="A88" s="47" t="s">
        <v>176</v>
      </c>
      <c r="B88" s="48" t="s">
        <v>223</v>
      </c>
      <c r="C88" s="22" t="s">
        <v>226</v>
      </c>
      <c r="D88" s="49" t="s">
        <v>227</v>
      </c>
      <c r="E88" s="48">
        <v>4.0</v>
      </c>
      <c r="F88" s="75" t="s">
        <v>98</v>
      </c>
    </row>
    <row r="89" ht="15.75" customHeight="1">
      <c r="A89" s="56" t="s">
        <v>176</v>
      </c>
      <c r="B89" s="57" t="s">
        <v>223</v>
      </c>
      <c r="C89" s="29" t="s">
        <v>228</v>
      </c>
      <c r="D89" s="58" t="s">
        <v>229</v>
      </c>
      <c r="E89" s="57">
        <v>4.0</v>
      </c>
      <c r="F89" s="75" t="s">
        <v>98</v>
      </c>
    </row>
    <row r="90" ht="15.75" customHeight="1">
      <c r="A90" s="52" t="s">
        <v>176</v>
      </c>
      <c r="B90" s="53" t="s">
        <v>230</v>
      </c>
      <c r="C90" s="22" t="s">
        <v>231</v>
      </c>
      <c r="D90" s="54" t="s">
        <v>232</v>
      </c>
      <c r="E90" s="53">
        <v>3.0</v>
      </c>
      <c r="F90" s="75" t="s">
        <v>26</v>
      </c>
    </row>
    <row r="91" ht="15.75" customHeight="1">
      <c r="A91" s="47" t="s">
        <v>176</v>
      </c>
      <c r="B91" s="48" t="s">
        <v>230</v>
      </c>
      <c r="C91" s="22" t="s">
        <v>233</v>
      </c>
      <c r="D91" s="49" t="s">
        <v>234</v>
      </c>
      <c r="E91" s="48">
        <v>3.0</v>
      </c>
      <c r="F91" s="75" t="s">
        <v>14</v>
      </c>
      <c r="G91" s="79" t="s">
        <v>48</v>
      </c>
      <c r="H91" s="8"/>
      <c r="I91" s="8"/>
      <c r="J91" s="9"/>
    </row>
    <row r="92" ht="15.75" customHeight="1">
      <c r="A92" s="56" t="s">
        <v>176</v>
      </c>
      <c r="B92" s="57" t="s">
        <v>230</v>
      </c>
      <c r="C92" s="22" t="s">
        <v>235</v>
      </c>
      <c r="D92" s="58" t="s">
        <v>236</v>
      </c>
      <c r="E92" s="57">
        <v>2.0</v>
      </c>
      <c r="F92" s="75" t="s">
        <v>14</v>
      </c>
      <c r="G92" s="80">
        <f>SUM(E67:E92)</f>
        <v>85</v>
      </c>
      <c r="H92" s="81" t="s">
        <v>17</v>
      </c>
      <c r="I92" s="82">
        <f>(G92 * 100)/B4</f>
        <v>21.57360406</v>
      </c>
      <c r="J92" s="81" t="s">
        <v>92</v>
      </c>
    </row>
    <row r="93" ht="15.75" customHeight="1">
      <c r="A93" s="52" t="s">
        <v>237</v>
      </c>
      <c r="B93" s="53" t="s">
        <v>238</v>
      </c>
      <c r="C93" s="13" t="s">
        <v>239</v>
      </c>
      <c r="D93" s="54" t="s">
        <v>240</v>
      </c>
      <c r="E93" s="53">
        <v>4.0</v>
      </c>
      <c r="F93" s="83" t="s">
        <v>26</v>
      </c>
    </row>
    <row r="94" ht="15.75" customHeight="1">
      <c r="A94" s="47" t="s">
        <v>237</v>
      </c>
      <c r="B94" s="48" t="s">
        <v>238</v>
      </c>
      <c r="C94" s="22" t="s">
        <v>241</v>
      </c>
      <c r="D94" s="49" t="s">
        <v>242</v>
      </c>
      <c r="E94" s="48">
        <v>4.0</v>
      </c>
      <c r="F94" s="83" t="s">
        <v>26</v>
      </c>
    </row>
    <row r="95" ht="15.75" customHeight="1">
      <c r="A95" s="56" t="s">
        <v>237</v>
      </c>
      <c r="B95" s="57" t="s">
        <v>238</v>
      </c>
      <c r="C95" s="29" t="s">
        <v>243</v>
      </c>
      <c r="D95" s="58" t="s">
        <v>244</v>
      </c>
      <c r="E95" s="57">
        <v>3.0</v>
      </c>
      <c r="F95" s="83" t="s">
        <v>14</v>
      </c>
    </row>
    <row r="96" ht="15.75" customHeight="1">
      <c r="A96" s="52" t="s">
        <v>237</v>
      </c>
      <c r="B96" s="53" t="s">
        <v>245</v>
      </c>
      <c r="C96" s="22" t="s">
        <v>246</v>
      </c>
      <c r="D96" s="54" t="s">
        <v>247</v>
      </c>
      <c r="E96" s="53">
        <v>3.0</v>
      </c>
      <c r="F96" s="83" t="s">
        <v>26</v>
      </c>
    </row>
    <row r="97" ht="15.75" customHeight="1">
      <c r="A97" s="56" t="s">
        <v>237</v>
      </c>
      <c r="B97" s="57" t="s">
        <v>245</v>
      </c>
      <c r="C97" s="22" t="s">
        <v>248</v>
      </c>
      <c r="D97" s="58" t="s">
        <v>249</v>
      </c>
      <c r="E97" s="57">
        <v>3.0</v>
      </c>
      <c r="F97" s="83" t="s">
        <v>26</v>
      </c>
    </row>
    <row r="98" ht="15.75" customHeight="1">
      <c r="A98" s="52" t="s">
        <v>237</v>
      </c>
      <c r="B98" s="53" t="s">
        <v>250</v>
      </c>
      <c r="C98" s="13" t="s">
        <v>251</v>
      </c>
      <c r="D98" s="54" t="s">
        <v>252</v>
      </c>
      <c r="E98" s="53">
        <v>3.0</v>
      </c>
      <c r="F98" s="83" t="s">
        <v>26</v>
      </c>
    </row>
    <row r="99" ht="15.75" customHeight="1">
      <c r="A99" s="56" t="s">
        <v>237</v>
      </c>
      <c r="B99" s="57" t="s">
        <v>250</v>
      </c>
      <c r="C99" s="29" t="s">
        <v>253</v>
      </c>
      <c r="D99" s="58" t="s">
        <v>254</v>
      </c>
      <c r="E99" s="57">
        <v>2.0</v>
      </c>
      <c r="F99" s="83" t="s">
        <v>26</v>
      </c>
    </row>
    <row r="100" ht="15.75" customHeight="1">
      <c r="A100" s="52" t="s">
        <v>237</v>
      </c>
      <c r="B100" s="53" t="s">
        <v>255</v>
      </c>
      <c r="C100" s="22" t="s">
        <v>256</v>
      </c>
      <c r="D100" s="54" t="s">
        <v>257</v>
      </c>
      <c r="E100" s="53">
        <v>4.0</v>
      </c>
      <c r="F100" s="83" t="s">
        <v>26</v>
      </c>
    </row>
    <row r="101" ht="15.75" customHeight="1">
      <c r="A101" s="47" t="s">
        <v>237</v>
      </c>
      <c r="B101" s="48" t="s">
        <v>255</v>
      </c>
      <c r="C101" s="22" t="s">
        <v>258</v>
      </c>
      <c r="D101" s="49" t="s">
        <v>259</v>
      </c>
      <c r="E101" s="48">
        <v>4.0</v>
      </c>
      <c r="F101" s="83" t="s">
        <v>14</v>
      </c>
    </row>
    <row r="102" ht="15.75" customHeight="1">
      <c r="A102" s="56" t="s">
        <v>237</v>
      </c>
      <c r="B102" s="57" t="s">
        <v>255</v>
      </c>
      <c r="C102" s="22" t="s">
        <v>260</v>
      </c>
      <c r="D102" s="58" t="s">
        <v>261</v>
      </c>
      <c r="E102" s="57">
        <v>2.0</v>
      </c>
      <c r="F102" s="83" t="s">
        <v>14</v>
      </c>
      <c r="G102" s="49" t="s">
        <v>262</v>
      </c>
    </row>
    <row r="103" ht="15.75" customHeight="1">
      <c r="A103" s="52" t="s">
        <v>237</v>
      </c>
      <c r="B103" s="53" t="s">
        <v>263</v>
      </c>
      <c r="C103" s="13" t="s">
        <v>264</v>
      </c>
      <c r="D103" s="54" t="s">
        <v>265</v>
      </c>
      <c r="E103" s="53">
        <v>4.0</v>
      </c>
      <c r="F103" s="83" t="s">
        <v>14</v>
      </c>
    </row>
    <row r="104" ht="15.75" customHeight="1">
      <c r="A104" s="56" t="s">
        <v>237</v>
      </c>
      <c r="B104" s="57" t="s">
        <v>263</v>
      </c>
      <c r="C104" s="29" t="s">
        <v>266</v>
      </c>
      <c r="D104" s="58" t="s">
        <v>267</v>
      </c>
      <c r="E104" s="57">
        <v>3.0</v>
      </c>
      <c r="F104" s="83" t="s">
        <v>14</v>
      </c>
    </row>
    <row r="105" ht="15.75" customHeight="1">
      <c r="A105" s="52" t="s">
        <v>237</v>
      </c>
      <c r="B105" s="53" t="s">
        <v>268</v>
      </c>
      <c r="C105" s="22" t="s">
        <v>269</v>
      </c>
      <c r="D105" s="54" t="s">
        <v>270</v>
      </c>
      <c r="E105" s="53">
        <v>5.0</v>
      </c>
      <c r="F105" s="83" t="s">
        <v>26</v>
      </c>
    </row>
    <row r="106" ht="15.75" customHeight="1">
      <c r="A106" s="47" t="s">
        <v>237</v>
      </c>
      <c r="B106" s="48" t="s">
        <v>268</v>
      </c>
      <c r="C106" s="22" t="s">
        <v>271</v>
      </c>
      <c r="D106" s="49" t="s">
        <v>272</v>
      </c>
      <c r="E106" s="48">
        <v>3.0</v>
      </c>
      <c r="F106" s="83" t="s">
        <v>26</v>
      </c>
    </row>
    <row r="107" ht="15.75" customHeight="1">
      <c r="A107" s="47" t="s">
        <v>237</v>
      </c>
      <c r="B107" s="48" t="s">
        <v>268</v>
      </c>
      <c r="C107" s="22" t="s">
        <v>273</v>
      </c>
      <c r="D107" s="49" t="s">
        <v>274</v>
      </c>
      <c r="E107" s="48">
        <v>2.0</v>
      </c>
      <c r="F107" s="83" t="s">
        <v>26</v>
      </c>
    </row>
    <row r="108" ht="15.75" customHeight="1">
      <c r="A108" s="56" t="s">
        <v>237</v>
      </c>
      <c r="B108" s="57" t="s">
        <v>268</v>
      </c>
      <c r="C108" s="22" t="s">
        <v>275</v>
      </c>
      <c r="D108" s="58" t="s">
        <v>276</v>
      </c>
      <c r="E108" s="57">
        <v>2.0</v>
      </c>
      <c r="F108" s="83" t="s">
        <v>14</v>
      </c>
    </row>
    <row r="109" ht="15.75" customHeight="1">
      <c r="A109" s="52" t="s">
        <v>237</v>
      </c>
      <c r="B109" s="53" t="s">
        <v>277</v>
      </c>
      <c r="C109" s="13" t="s">
        <v>278</v>
      </c>
      <c r="D109" s="54" t="s">
        <v>279</v>
      </c>
      <c r="E109" s="53">
        <v>4.0</v>
      </c>
      <c r="F109" s="83" t="s">
        <v>26</v>
      </c>
    </row>
    <row r="110" ht="15.75" customHeight="1">
      <c r="A110" s="56" t="s">
        <v>237</v>
      </c>
      <c r="B110" s="57" t="s">
        <v>277</v>
      </c>
      <c r="C110" s="29" t="s">
        <v>280</v>
      </c>
      <c r="D110" s="58" t="s">
        <v>281</v>
      </c>
      <c r="E110" s="57">
        <v>3.0</v>
      </c>
      <c r="F110" s="83" t="s">
        <v>98</v>
      </c>
    </row>
    <row r="111" ht="15.75" customHeight="1">
      <c r="A111" s="52" t="s">
        <v>237</v>
      </c>
      <c r="B111" s="53" t="s">
        <v>282</v>
      </c>
      <c r="C111" s="22" t="s">
        <v>283</v>
      </c>
      <c r="D111" s="54" t="s">
        <v>284</v>
      </c>
      <c r="E111" s="53">
        <v>3.0</v>
      </c>
      <c r="F111" s="83" t="s">
        <v>98</v>
      </c>
    </row>
    <row r="112" ht="15.75" customHeight="1">
      <c r="A112" s="56" t="s">
        <v>237</v>
      </c>
      <c r="B112" s="57" t="s">
        <v>282</v>
      </c>
      <c r="C112" s="22" t="s">
        <v>285</v>
      </c>
      <c r="D112" s="58" t="s">
        <v>286</v>
      </c>
      <c r="E112" s="57">
        <v>3.0</v>
      </c>
      <c r="F112" s="83" t="s">
        <v>98</v>
      </c>
    </row>
    <row r="113" ht="15.75" customHeight="1">
      <c r="A113" s="52" t="s">
        <v>287</v>
      </c>
      <c r="B113" s="53" t="s">
        <v>288</v>
      </c>
      <c r="C113" s="13" t="s">
        <v>289</v>
      </c>
      <c r="D113" s="54" t="s">
        <v>290</v>
      </c>
      <c r="E113" s="53">
        <v>3.0</v>
      </c>
      <c r="F113" s="83" t="s">
        <v>98</v>
      </c>
    </row>
    <row r="114" ht="15.75" customHeight="1">
      <c r="A114" s="84" t="s">
        <v>287</v>
      </c>
      <c r="B114" s="48" t="s">
        <v>288</v>
      </c>
      <c r="C114" s="22" t="s">
        <v>291</v>
      </c>
      <c r="D114" s="49" t="s">
        <v>292</v>
      </c>
      <c r="E114" s="48">
        <v>4.0</v>
      </c>
      <c r="F114" s="83" t="s">
        <v>98</v>
      </c>
    </row>
    <row r="115" ht="15.75" customHeight="1">
      <c r="A115" s="85" t="s">
        <v>287</v>
      </c>
      <c r="B115" s="57" t="s">
        <v>288</v>
      </c>
      <c r="C115" s="29" t="s">
        <v>293</v>
      </c>
      <c r="D115" s="58" t="s">
        <v>294</v>
      </c>
      <c r="E115" s="57">
        <v>3.0</v>
      </c>
      <c r="F115" s="83" t="s">
        <v>14</v>
      </c>
    </row>
    <row r="116" ht="15.75" customHeight="1">
      <c r="A116" s="60" t="s">
        <v>287</v>
      </c>
      <c r="B116" s="53" t="s">
        <v>295</v>
      </c>
      <c r="C116" s="22" t="s">
        <v>296</v>
      </c>
      <c r="D116" s="54" t="s">
        <v>297</v>
      </c>
      <c r="E116" s="53">
        <v>3.0</v>
      </c>
      <c r="F116" s="83" t="s">
        <v>98</v>
      </c>
    </row>
    <row r="117" ht="15.75" customHeight="1">
      <c r="A117" s="84" t="s">
        <v>287</v>
      </c>
      <c r="B117" s="48" t="s">
        <v>295</v>
      </c>
      <c r="C117" s="22" t="s">
        <v>298</v>
      </c>
      <c r="D117" s="49" t="s">
        <v>299</v>
      </c>
      <c r="E117" s="48">
        <v>3.0</v>
      </c>
      <c r="F117" s="83" t="s">
        <v>98</v>
      </c>
    </row>
    <row r="118" ht="15.75" customHeight="1">
      <c r="A118" s="85" t="s">
        <v>287</v>
      </c>
      <c r="B118" s="57" t="s">
        <v>295</v>
      </c>
      <c r="C118" s="22" t="s">
        <v>300</v>
      </c>
      <c r="D118" s="58" t="s">
        <v>301</v>
      </c>
      <c r="E118" s="57">
        <v>3.0</v>
      </c>
      <c r="F118" s="83" t="s">
        <v>26</v>
      </c>
    </row>
    <row r="119" ht="15.75" customHeight="1">
      <c r="A119" s="60" t="s">
        <v>287</v>
      </c>
      <c r="B119" s="53" t="s">
        <v>302</v>
      </c>
      <c r="C119" s="13" t="s">
        <v>303</v>
      </c>
      <c r="D119" s="54" t="s">
        <v>304</v>
      </c>
      <c r="E119" s="53">
        <v>3.0</v>
      </c>
      <c r="F119" s="83" t="s">
        <v>98</v>
      </c>
    </row>
    <row r="120" ht="15.75" customHeight="1">
      <c r="A120" s="85" t="s">
        <v>287</v>
      </c>
      <c r="B120" s="57" t="s">
        <v>302</v>
      </c>
      <c r="C120" s="29" t="s">
        <v>305</v>
      </c>
      <c r="D120" s="58" t="s">
        <v>306</v>
      </c>
      <c r="E120" s="57">
        <v>2.0</v>
      </c>
      <c r="F120" s="83" t="s">
        <v>14</v>
      </c>
    </row>
    <row r="121" ht="15.75" customHeight="1">
      <c r="A121" s="76" t="s">
        <v>287</v>
      </c>
      <c r="B121" s="77" t="s">
        <v>307</v>
      </c>
      <c r="C121" s="22" t="s">
        <v>308</v>
      </c>
      <c r="D121" s="78" t="s">
        <v>309</v>
      </c>
      <c r="E121" s="77">
        <v>3.0</v>
      </c>
      <c r="F121" s="83" t="s">
        <v>14</v>
      </c>
    </row>
    <row r="122" ht="15.75" customHeight="1">
      <c r="A122" s="76" t="s">
        <v>287</v>
      </c>
      <c r="B122" s="77" t="s">
        <v>310</v>
      </c>
      <c r="C122" s="86" t="s">
        <v>311</v>
      </c>
      <c r="D122" s="78" t="s">
        <v>312</v>
      </c>
      <c r="E122" s="77">
        <v>3.0</v>
      </c>
      <c r="F122" s="83" t="s">
        <v>98</v>
      </c>
      <c r="G122" s="87" t="s">
        <v>59</v>
      </c>
      <c r="H122" s="8"/>
      <c r="I122" s="8"/>
      <c r="J122" s="9"/>
    </row>
    <row r="123" ht="15.75" customHeight="1">
      <c r="A123" s="76" t="s">
        <v>287</v>
      </c>
      <c r="B123" s="77" t="s">
        <v>313</v>
      </c>
      <c r="C123" s="29" t="s">
        <v>314</v>
      </c>
      <c r="D123" s="78" t="s">
        <v>315</v>
      </c>
      <c r="E123" s="77">
        <v>3.0</v>
      </c>
      <c r="F123" s="83" t="s">
        <v>98</v>
      </c>
      <c r="G123" s="88">
        <f>SUM(E93:E128)</f>
        <v>97</v>
      </c>
      <c r="H123" s="89" t="s">
        <v>17</v>
      </c>
      <c r="I123" s="90">
        <f>(G123 * 100)/B4</f>
        <v>24.61928934</v>
      </c>
      <c r="J123" s="89" t="s">
        <v>92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mergeCells count="19">
    <mergeCell ref="M11:N11"/>
    <mergeCell ref="M12:N12"/>
    <mergeCell ref="M13:N13"/>
    <mergeCell ref="M14:N14"/>
    <mergeCell ref="G15:K15"/>
    <mergeCell ref="G19:K19"/>
    <mergeCell ref="G24:K24"/>
    <mergeCell ref="G25:G26"/>
    <mergeCell ref="G30:J30"/>
    <mergeCell ref="G65:J65"/>
    <mergeCell ref="G91:J91"/>
    <mergeCell ref="G122:J122"/>
    <mergeCell ref="G6:K6"/>
    <mergeCell ref="L6:N6"/>
    <mergeCell ref="M7:N7"/>
    <mergeCell ref="M8:N8"/>
    <mergeCell ref="M9:N9"/>
    <mergeCell ref="M10:N10"/>
    <mergeCell ref="G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