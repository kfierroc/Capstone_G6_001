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_Backlog_tareas" sheetId="1" r:id="rId4"/>
  </sheets>
  <definedNames/>
  <calcPr/>
  <extLst>
    <ext uri="GoogleSheetsCustomDataVersion2">
      <go:sheetsCustomData xmlns:go="http://customooxmlschemas.google.com/" r:id="rId5" roundtripDataChecksum="Ouh62N54f0Qrp5jddTfElbSqkulCubDmzVnbTQnDpkk="/>
    </ext>
  </extLst>
</workbook>
</file>

<file path=xl/sharedStrings.xml><?xml version="1.0" encoding="utf-8"?>
<sst xmlns="http://schemas.openxmlformats.org/spreadsheetml/2006/main" count="652" uniqueCount="316">
  <si>
    <t xml:space="preserve">Resultado de la actividad Sprint Planning </t>
  </si>
  <si>
    <t>Sprint Backlog con estimación de tareas para las historia de usuario del Primer Sprint</t>
  </si>
  <si>
    <t>Total Horas:</t>
  </si>
  <si>
    <t>Epica</t>
  </si>
  <si>
    <t>Id Historia</t>
  </si>
  <si>
    <t>Id Tarea</t>
  </si>
  <si>
    <t>Tareas o actividad</t>
  </si>
  <si>
    <t>Horas estimadas</t>
  </si>
  <si>
    <t>Responsable</t>
  </si>
  <si>
    <t>Sprint 1</t>
  </si>
  <si>
    <t>TOTAL PROYECTO</t>
  </si>
  <si>
    <t>F0</t>
  </si>
  <si>
    <t>T-01</t>
  </si>
  <si>
    <t>Definir arquitectura general (Flutter + Supabase)</t>
  </si>
  <si>
    <t>Kevin F</t>
  </si>
  <si>
    <t>HU</t>
  </si>
  <si>
    <t>Tareas</t>
  </si>
  <si>
    <t>Horas</t>
  </si>
  <si>
    <t>% Progreso</t>
  </si>
  <si>
    <t>% Progreso S1</t>
  </si>
  <si>
    <t>T-02</t>
  </si>
  <si>
    <t>Diseñar modelo de datos (ERD completo)</t>
  </si>
  <si>
    <t>FASE 0</t>
  </si>
  <si>
    <t>% Progreso S2</t>
  </si>
  <si>
    <t>T-03</t>
  </si>
  <si>
    <t>Diseñar navegación y pantallas principales (Flutter)</t>
  </si>
  <si>
    <t>Jose M</t>
  </si>
  <si>
    <t>EPICA E-01</t>
  </si>
  <si>
    <t>% Progreso S3</t>
  </si>
  <si>
    <t>T-04</t>
  </si>
  <si>
    <t>Inicializar proyecto Flutter (mobile + web)</t>
  </si>
  <si>
    <t>TOTAL S1</t>
  </si>
  <si>
    <t>% Progreso S4</t>
  </si>
  <si>
    <t>T-05</t>
  </si>
  <si>
    <t>Configurar proyecto Supabase</t>
  </si>
  <si>
    <t>Sprint 2</t>
  </si>
  <si>
    <t>T-06</t>
  </si>
  <si>
    <t>Configurar conexión Flutter ↔ Supabase</t>
  </si>
  <si>
    <t>HU totales</t>
  </si>
  <si>
    <t>T-07</t>
  </si>
  <si>
    <t>Configurar Google Maps API (API Key y permisos)</t>
  </si>
  <si>
    <t>Tareas totales</t>
  </si>
  <si>
    <t>T-08</t>
  </si>
  <si>
    <t>Integrar mapa base en Flutter</t>
  </si>
  <si>
    <t>TOTAL S2</t>
  </si>
  <si>
    <t>Horas totales</t>
  </si>
  <si>
    <t>T-09</t>
  </si>
  <si>
    <t>Configurar geolocalización</t>
  </si>
  <si>
    <t>Sprint 3</t>
  </si>
  <si>
    <t>T-10</t>
  </si>
  <si>
    <t>Configurar PostGIS en Supabase (cálculos geoespaciales)</t>
  </si>
  <si>
    <t>T-11</t>
  </si>
  <si>
    <t>Configurar Supabase Auth</t>
  </si>
  <si>
    <t>EPICA E-02</t>
  </si>
  <si>
    <t>T-12</t>
  </si>
  <si>
    <t>Definir roles del sistema (Residente, Bombero, Admin)</t>
  </si>
  <si>
    <t>TOTAL S3</t>
  </si>
  <si>
    <t>T-13</t>
  </si>
  <si>
    <t>Poblar base de datos con comunas (polígonos)</t>
  </si>
  <si>
    <t>Sprint 4</t>
  </si>
  <si>
    <t>T-14</t>
  </si>
  <si>
    <t>Acceder a API con datos de centros de distribución de gas</t>
  </si>
  <si>
    <t>E-01</t>
  </si>
  <si>
    <t>HU-01</t>
  </si>
  <si>
    <t>T-15</t>
  </si>
  <si>
    <t>Implementar registro con Supabase Auth</t>
  </si>
  <si>
    <t>EPICA E-03</t>
  </si>
  <si>
    <t>T-16</t>
  </si>
  <si>
    <t>Validar datos de registro</t>
  </si>
  <si>
    <t>EPICA E-04</t>
  </si>
  <si>
    <t>T-17</t>
  </si>
  <si>
    <t>Manejar errores de registro</t>
  </si>
  <si>
    <t>TOTAL S4</t>
  </si>
  <si>
    <t>HU-02</t>
  </si>
  <si>
    <t>T-18</t>
  </si>
  <si>
    <t>Implementar login con Supabase Auth</t>
  </si>
  <si>
    <t>RESUMEN TOTAL PROYECTO</t>
  </si>
  <si>
    <t>T-19</t>
  </si>
  <si>
    <t>Manejar errores de autenticación</t>
  </si>
  <si>
    <t>HU-03</t>
  </si>
  <si>
    <t>T-20</t>
  </si>
  <si>
    <t>Insertar vivienda en Supabase</t>
  </si>
  <si>
    <t>T-21</t>
  </si>
  <si>
    <t>Crear formulario vivienda</t>
  </si>
  <si>
    <t>T-22</t>
  </si>
  <si>
    <t>Validar campos vivienda</t>
  </si>
  <si>
    <t>T-23</t>
  </si>
  <si>
    <t>Integrar selección en mapa</t>
  </si>
  <si>
    <t>T-24</t>
  </si>
  <si>
    <t>Asignar comuna por coordenadas</t>
  </si>
  <si>
    <t>T-25</t>
  </si>
  <si>
    <t>Asociar vivienda a usuario</t>
  </si>
  <si>
    <t>%</t>
  </si>
  <si>
    <t>HU-04</t>
  </si>
  <si>
    <t>T-26</t>
  </si>
  <si>
    <t>Crear endpoint actualizar vivienda</t>
  </si>
  <si>
    <t>T-27</t>
  </si>
  <si>
    <t>Implementar edición en UI</t>
  </si>
  <si>
    <t>Kathe C</t>
  </si>
  <si>
    <t>T-28</t>
  </si>
  <si>
    <t>Validar cambios</t>
  </si>
  <si>
    <t>HU-05</t>
  </si>
  <si>
    <t>T-29</t>
  </si>
  <si>
    <t>Crear endpoint eliminar vivienda</t>
  </si>
  <si>
    <t>T-30</t>
  </si>
  <si>
    <t>Confirmación eliminación UI</t>
  </si>
  <si>
    <t>HU-06</t>
  </si>
  <si>
    <t>T-31</t>
  </si>
  <si>
    <t>Crear endpoint registrar materiales peligrosos</t>
  </si>
  <si>
    <t>T-32</t>
  </si>
  <si>
    <t>UI selección materiales</t>
  </si>
  <si>
    <t>T-33</t>
  </si>
  <si>
    <t>Validar datos de materiales</t>
  </si>
  <si>
    <t>T-34</t>
  </si>
  <si>
    <t>Asociar materiales a vivienda</t>
  </si>
  <si>
    <t>HU-07</t>
  </si>
  <si>
    <t>T-35</t>
  </si>
  <si>
    <t>Crear endpoint actualizar materiales</t>
  </si>
  <si>
    <t>T-36</t>
  </si>
  <si>
    <t>Editar materiales en UI</t>
  </si>
  <si>
    <t>T-37</t>
  </si>
  <si>
    <t>Validar cambios de materiales</t>
  </si>
  <si>
    <t>HU-08</t>
  </si>
  <si>
    <t>T-38</t>
  </si>
  <si>
    <t>Crear endpoint eliminar materiales</t>
  </si>
  <si>
    <t>T-39</t>
  </si>
  <si>
    <t>Confirmación eliminación materiales</t>
  </si>
  <si>
    <t>HU-09</t>
  </si>
  <si>
    <t>T-40</t>
  </si>
  <si>
    <t>Crear endpoint registrar integrante</t>
  </si>
  <si>
    <t>T-41</t>
  </si>
  <si>
    <t>Formulario integrante</t>
  </si>
  <si>
    <t>T-42</t>
  </si>
  <si>
    <t>Validar datos integrante</t>
  </si>
  <si>
    <t>T-43</t>
  </si>
  <si>
    <t>Asociar integrante a vivienda</t>
  </si>
  <si>
    <t>HU-10</t>
  </si>
  <si>
    <t>T-44</t>
  </si>
  <si>
    <t>Crear endpoint actualizar integrante</t>
  </si>
  <si>
    <t>T-45</t>
  </si>
  <si>
    <t>Editar integrante en UI</t>
  </si>
  <si>
    <t>T-46</t>
  </si>
  <si>
    <t>Validar cambios integrante</t>
  </si>
  <si>
    <t>HU-11</t>
  </si>
  <si>
    <t>T-47</t>
  </si>
  <si>
    <t>Crear endpoint eliminar integrante</t>
  </si>
  <si>
    <t>T-48</t>
  </si>
  <si>
    <t>Confirmación eliminación integrante</t>
  </si>
  <si>
    <t>HU-12</t>
  </si>
  <si>
    <t>T-49</t>
  </si>
  <si>
    <t>Crear endpoint registrar mascota</t>
  </si>
  <si>
    <t>T-50</t>
  </si>
  <si>
    <t>Formulario mascota</t>
  </si>
  <si>
    <t>T-51</t>
  </si>
  <si>
    <t>Validar datos mascota</t>
  </si>
  <si>
    <t>HU-13</t>
  </si>
  <si>
    <t>T-52</t>
  </si>
  <si>
    <t>Crear endpoint actualizar mascota</t>
  </si>
  <si>
    <t>T-53</t>
  </si>
  <si>
    <t>Editar mascota en UI</t>
  </si>
  <si>
    <t>T-54</t>
  </si>
  <si>
    <t>Validar cambios mascota</t>
  </si>
  <si>
    <t>HU-14</t>
  </si>
  <si>
    <t>T-55</t>
  </si>
  <si>
    <t>Crear endpoint eliminar mascota</t>
  </si>
  <si>
    <t>T-56</t>
  </si>
  <si>
    <t>Confirmación eliminación mascota</t>
  </si>
  <si>
    <t>HU-15</t>
  </si>
  <si>
    <t>T-57</t>
  </si>
  <si>
    <t>Crear endpoint obtener vivienda completa</t>
  </si>
  <si>
    <t>T-58</t>
  </si>
  <si>
    <t>Integrar datos relacionados (personas, mascotas, riesgos)</t>
  </si>
  <si>
    <t>T-59</t>
  </si>
  <si>
    <t>Mostrar vista resumen en UI</t>
  </si>
  <si>
    <t>T-60</t>
  </si>
  <si>
    <t>Mostrar alertas de riesgo</t>
  </si>
  <si>
    <t>E-02</t>
  </si>
  <si>
    <t>HU-16</t>
  </si>
  <si>
    <t>T-61</t>
  </si>
  <si>
    <t>Implementar registro de bombero</t>
  </si>
  <si>
    <t>T-62</t>
  </si>
  <si>
    <t>Validar datos de bombero</t>
  </si>
  <si>
    <t>T-63</t>
  </si>
  <si>
    <t>HU-17</t>
  </si>
  <si>
    <t>T-64</t>
  </si>
  <si>
    <t>Implementar login bombero</t>
  </si>
  <si>
    <t>T-65</t>
  </si>
  <si>
    <t>Manejar sesión persistente</t>
  </si>
  <si>
    <t>T-66</t>
  </si>
  <si>
    <t>Validar acceso por rol</t>
  </si>
  <si>
    <t>HU-18</t>
  </si>
  <si>
    <t>T-67</t>
  </si>
  <si>
    <t>Guardar comuna predeterminada</t>
  </si>
  <si>
    <t>T-68</t>
  </si>
  <si>
    <t>Selector de comuna en UI</t>
  </si>
  <si>
    <t>T-69</t>
  </si>
  <si>
    <t>Aplicar filtro automático</t>
  </si>
  <si>
    <t>HU-19</t>
  </si>
  <si>
    <t>T-70</t>
  </si>
  <si>
    <t>Actualizar comuna predeterminada</t>
  </si>
  <si>
    <t>T-71</t>
  </si>
  <si>
    <t>Validar comuna seleccionada</t>
  </si>
  <si>
    <t>HU-20</t>
  </si>
  <si>
    <t>T-72</t>
  </si>
  <si>
    <t>Buscar vivienda por dirección</t>
  </si>
  <si>
    <t>T-73</t>
  </si>
  <si>
    <t>Integrar autocomplete Google Maps</t>
  </si>
  <si>
    <t>T-74</t>
  </si>
  <si>
    <t>Manejar resultados y errores</t>
  </si>
  <si>
    <t>HU-21</t>
  </si>
  <si>
    <t>T-75</t>
  </si>
  <si>
    <t xml:space="preserve">Consultar vivienda completa </t>
  </si>
  <si>
    <t>T-76</t>
  </si>
  <si>
    <t>Mostrar datos estructurados</t>
  </si>
  <si>
    <t>T-77</t>
  </si>
  <si>
    <t>Destacar materiales peligrosos</t>
  </si>
  <si>
    <t>HU-22</t>
  </si>
  <si>
    <t>T-78</t>
  </si>
  <si>
    <t>Mostrar ubicación en mapa</t>
  </si>
  <si>
    <t>T-79</t>
  </si>
  <si>
    <t>Implementar zoom/pan</t>
  </si>
  <si>
    <t>T-80</t>
  </si>
  <si>
    <t>Manejar errores del mapa</t>
  </si>
  <si>
    <t>HU-23</t>
  </si>
  <si>
    <t>T-81</t>
  </si>
  <si>
    <t>Consultar centros de gas</t>
  </si>
  <si>
    <t>T-82</t>
  </si>
  <si>
    <t>Calcular proximidad (PostGIS)</t>
  </si>
  <si>
    <t>T-83</t>
  </si>
  <si>
    <t>Mostrar en mapa</t>
  </si>
  <si>
    <t>HU-24</t>
  </si>
  <si>
    <t>T-84</t>
  </si>
  <si>
    <t>Filtrar por comuna (Elaborar Query)</t>
  </si>
  <si>
    <t>T-85</t>
  </si>
  <si>
    <t>Filtro en frontend</t>
  </si>
  <si>
    <t>T-86</t>
  </si>
  <si>
    <t>Actualizar resultados</t>
  </si>
  <si>
    <t>E-03</t>
  </si>
  <si>
    <t>HU-25</t>
  </si>
  <si>
    <t>T-87</t>
  </si>
  <si>
    <t xml:space="preserve">Registrar grifo </t>
  </si>
  <si>
    <t>T-88</t>
  </si>
  <si>
    <t>Formulario grifo</t>
  </si>
  <si>
    <t>T-89</t>
  </si>
  <si>
    <t>Validar coordenadas</t>
  </si>
  <si>
    <t>HU-26</t>
  </si>
  <si>
    <t>T-90</t>
  </si>
  <si>
    <t>Actualizar grifo (estado/ubicación)</t>
  </si>
  <si>
    <t>T-91</t>
  </si>
  <si>
    <t>Editar grifo en UI</t>
  </si>
  <si>
    <t>HU-27</t>
  </si>
  <si>
    <t>T-92</t>
  </si>
  <si>
    <t>Eliminar grifo</t>
  </si>
  <si>
    <t>T-93</t>
  </si>
  <si>
    <t>Confirmación eliminación grifo</t>
  </si>
  <si>
    <t>HU-28</t>
  </si>
  <si>
    <t>T-94</t>
  </si>
  <si>
    <t>Mostrar grifos en mapa</t>
  </si>
  <si>
    <t>T-95</t>
  </si>
  <si>
    <t>Calcular cercanía al usuario/mapa</t>
  </si>
  <si>
    <t>T-96</t>
  </si>
  <si>
    <t>Limitar resultados</t>
  </si>
  <si>
    <t xml:space="preserve"> </t>
  </si>
  <si>
    <t>HU-29</t>
  </si>
  <si>
    <t>T-97</t>
  </si>
  <si>
    <t>Calcular cercanía al centro del mapa</t>
  </si>
  <si>
    <t>T-98</t>
  </si>
  <si>
    <t>Actualizar al mover mapa</t>
  </si>
  <si>
    <t>HU-30</t>
  </si>
  <si>
    <t>T-99</t>
  </si>
  <si>
    <t>Calcular distancia grifos-residencia</t>
  </si>
  <si>
    <t>T-100</t>
  </si>
  <si>
    <t>Filtrar grifos operativos</t>
  </si>
  <si>
    <t>T-101</t>
  </si>
  <si>
    <t>Ordenar por cercanía</t>
  </si>
  <si>
    <t>T-102</t>
  </si>
  <si>
    <t>Limitar resultados (top 3)</t>
  </si>
  <si>
    <t>HU-31</t>
  </si>
  <si>
    <t>T-103</t>
  </si>
  <si>
    <t>Identificar grifos cercanos a residencia</t>
  </si>
  <si>
    <t>T-104</t>
  </si>
  <si>
    <t>Priorizar operativos</t>
  </si>
  <si>
    <t>HU-32</t>
  </si>
  <si>
    <t>T-105</t>
  </si>
  <si>
    <t>Filtro por estado en backend</t>
  </si>
  <si>
    <t>T-106</t>
  </si>
  <si>
    <t>Selector de estado en UI</t>
  </si>
  <si>
    <t>E-04</t>
  </si>
  <si>
    <t>HU-33</t>
  </si>
  <si>
    <t>T-107</t>
  </si>
  <si>
    <t>Listar usuarios</t>
  </si>
  <si>
    <t>T-108</t>
  </si>
  <si>
    <t>Crear usuario (admin)</t>
  </si>
  <si>
    <t>T-109</t>
  </si>
  <si>
    <t>Eliminar usuario</t>
  </si>
  <si>
    <t>HU-34</t>
  </si>
  <si>
    <t>T-110</t>
  </si>
  <si>
    <t>Visualizar viviendas (admin)</t>
  </si>
  <si>
    <t>T-111</t>
  </si>
  <si>
    <t>Visualizar usuarios (admin)</t>
  </si>
  <si>
    <t>T-112</t>
  </si>
  <si>
    <t>Visualizar grifos (admin)</t>
  </si>
  <si>
    <t>HU-35</t>
  </si>
  <si>
    <t>T-113</t>
  </si>
  <si>
    <t>Editar datos usuario</t>
  </si>
  <si>
    <t>T-114</t>
  </si>
  <si>
    <t>Validar datos usuario</t>
  </si>
  <si>
    <t>HU-36</t>
  </si>
  <si>
    <t>T-115</t>
  </si>
  <si>
    <t>Asignar roles</t>
  </si>
  <si>
    <t>HU-37</t>
  </si>
  <si>
    <t>T-116</t>
  </si>
  <si>
    <t>Modificar roles</t>
  </si>
  <si>
    <t>HU-38</t>
  </si>
  <si>
    <t>T-117</t>
  </si>
  <si>
    <t>Eliminar roles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</si>
</sst>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6.0"/>
      <color theme="1"/>
      <name val="Calibri"/>
    </font>
    <font>
      <b/>
      <sz val="14.0"/>
      <color theme="1"/>
      <name val="Calibri"/>
    </font>
    <font>
      <b/>
      <sz val="13.0"/>
      <color theme="1"/>
      <name val="Calibri"/>
    </font>
    <font/>
    <font>
      <sz val="11.0"/>
      <color theme="1"/>
      <name val="Calibri"/>
    </font>
    <font>
      <color theme="1"/>
      <name val="Calibri"/>
    </font>
    <font>
      <b/>
      <sz val="11.0"/>
      <color theme="1"/>
      <name val="Calibri"/>
    </font>
    <font>
      <b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E6B8AF"/>
        <bgColor rgb="FFE6B8AF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FE599"/>
        <bgColor rgb="FFFFE599"/>
      </patternFill>
    </fill>
    <fill>
      <patternFill patternType="solid">
        <fgColor rgb="FF9FC5E8"/>
        <bgColor rgb="FF9FC5E8"/>
      </patternFill>
    </fill>
    <fill>
      <patternFill patternType="solid">
        <fgColor rgb="FF93C47D"/>
        <bgColor rgb="FF93C47D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Border="1" applyFont="1"/>
    <xf borderId="2" fillId="2" fontId="2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 shrinkToFit="0" wrapText="1"/>
    </xf>
    <xf borderId="2" fillId="2" fontId="2" numFmtId="0" xfId="0" applyAlignment="1" applyBorder="1" applyFont="1">
      <alignment horizontal="center" shrinkToFit="0" wrapText="1"/>
    </xf>
    <xf borderId="3" fillId="3" fontId="3" numFmtId="0" xfId="0" applyAlignment="1" applyBorder="1" applyFill="1" applyFont="1">
      <alignment horizontal="center" shrinkToFit="0" wrapText="1"/>
    </xf>
    <xf borderId="4" fillId="0" fontId="4" numFmtId="0" xfId="0" applyBorder="1" applyFont="1"/>
    <xf borderId="5" fillId="0" fontId="4" numFmtId="0" xfId="0" applyBorder="1" applyFont="1"/>
    <xf borderId="3" fillId="2" fontId="3" numFmtId="0" xfId="0" applyAlignment="1" applyBorder="1" applyFont="1">
      <alignment horizontal="center" shrinkToFit="0" vertical="center" wrapText="1"/>
    </xf>
    <xf borderId="6" fillId="0" fontId="5" numFmtId="0" xfId="0" applyAlignment="1" applyBorder="1" applyFont="1">
      <alignment horizontal="center" vertical="bottom"/>
    </xf>
    <xf borderId="7" fillId="0" fontId="5" numFmtId="0" xfId="0" applyAlignment="1" applyBorder="1" applyFont="1">
      <alignment horizontal="center" vertical="bottom"/>
    </xf>
    <xf borderId="7" fillId="0" fontId="5" numFmtId="0" xfId="0" applyAlignment="1" applyBorder="1" applyFont="1">
      <alignment vertical="bottom"/>
    </xf>
    <xf borderId="2" fillId="3" fontId="6" numFmtId="0" xfId="0" applyBorder="1" applyFont="1"/>
    <xf borderId="5" fillId="4" fontId="7" numFmtId="0" xfId="0" applyAlignment="1" applyBorder="1" applyFill="1" applyFont="1">
      <alignment vertical="bottom"/>
    </xf>
    <xf borderId="1" fillId="4" fontId="7" numFmtId="0" xfId="0" applyAlignment="1" applyBorder="1" applyFont="1">
      <alignment vertical="bottom"/>
    </xf>
    <xf borderId="1" fillId="4" fontId="7" numFmtId="2" xfId="0" applyAlignment="1" applyBorder="1" applyFont="1" applyNumberFormat="1">
      <alignment vertical="bottom"/>
    </xf>
    <xf borderId="3" fillId="0" fontId="6" numFmtId="2" xfId="0" applyBorder="1" applyFont="1" applyNumberFormat="1"/>
    <xf borderId="4" fillId="0" fontId="6" numFmtId="2" xfId="0" applyBorder="1" applyFont="1" applyNumberFormat="1"/>
    <xf borderId="8" fillId="0" fontId="5" numFmtId="0" xfId="0" applyAlignment="1" applyBorder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9" fillId="3" fontId="6" numFmtId="0" xfId="0" applyBorder="1" applyFont="1"/>
    <xf borderId="7" fillId="5" fontId="7" numFmtId="0" xfId="0" applyAlignment="1" applyBorder="1" applyFill="1" applyFont="1">
      <alignment vertical="bottom"/>
    </xf>
    <xf borderId="3" fillId="0" fontId="5" numFmtId="0" xfId="0" applyAlignment="1" applyBorder="1" applyFont="1">
      <alignment horizontal="right" vertical="bottom"/>
    </xf>
    <xf borderId="1" fillId="0" fontId="5" numFmtId="2" xfId="0" applyAlignment="1" applyBorder="1" applyFont="1" applyNumberFormat="1">
      <alignment horizontal="right" vertical="bottom"/>
    </xf>
    <xf borderId="10" fillId="0" fontId="5" numFmtId="0" xfId="0" applyAlignment="1" applyBorder="1" applyFont="1">
      <alignment horizontal="center" vertical="bottom"/>
    </xf>
    <xf borderId="11" fillId="0" fontId="5" numFmtId="0" xfId="0" applyAlignment="1" applyBorder="1" applyFont="1">
      <alignment horizontal="center" vertical="bottom"/>
    </xf>
    <xf borderId="11" fillId="0" fontId="5" numFmtId="0" xfId="0" applyAlignment="1" applyBorder="1" applyFont="1">
      <alignment vertical="bottom"/>
    </xf>
    <xf borderId="0" fillId="5" fontId="7" numFmtId="0" xfId="0" applyAlignment="1" applyFont="1">
      <alignment vertical="bottom"/>
    </xf>
    <xf borderId="6" fillId="0" fontId="5" numFmtId="0" xfId="0" applyAlignment="1" applyBorder="1" applyFont="1">
      <alignment horizontal="right" vertical="bottom"/>
    </xf>
    <xf borderId="2" fillId="0" fontId="5" numFmtId="2" xfId="0" applyAlignment="1" applyBorder="1" applyFont="1" applyNumberFormat="1">
      <alignment horizontal="right" vertical="bottom"/>
    </xf>
    <xf borderId="4" fillId="4" fontId="7" numFmtId="0" xfId="0" applyAlignment="1" applyBorder="1" applyFont="1">
      <alignment vertical="bottom"/>
    </xf>
    <xf borderId="1" fillId="3" fontId="5" numFmtId="0" xfId="0" applyAlignment="1" applyBorder="1" applyFont="1">
      <alignment horizontal="right" vertical="bottom"/>
    </xf>
    <xf borderId="1" fillId="3" fontId="5" numFmtId="2" xfId="0" applyAlignment="1" applyBorder="1" applyFont="1" applyNumberFormat="1">
      <alignment horizontal="right" vertical="bottom"/>
    </xf>
    <xf borderId="4" fillId="6" fontId="3" numFmtId="0" xfId="0" applyAlignment="1" applyBorder="1" applyFill="1" applyFont="1">
      <alignment horizontal="center" shrinkToFit="0" wrapText="1"/>
    </xf>
    <xf borderId="3" fillId="0" fontId="6" numFmtId="1" xfId="0" applyAlignment="1" applyBorder="1" applyFont="1" applyNumberFormat="1">
      <alignment horizontal="right"/>
    </xf>
    <xf borderId="4" fillId="0" fontId="6" numFmtId="2" xfId="0" applyAlignment="1" applyBorder="1" applyFont="1" applyNumberFormat="1">
      <alignment horizontal="left"/>
    </xf>
    <xf borderId="3" fillId="0" fontId="6" numFmtId="0" xfId="0" applyAlignment="1" applyBorder="1" applyFont="1">
      <alignment horizontal="right"/>
    </xf>
    <xf borderId="4" fillId="0" fontId="6" numFmtId="0" xfId="0" applyAlignment="1" applyBorder="1" applyFont="1">
      <alignment horizontal="left"/>
    </xf>
    <xf borderId="1" fillId="6" fontId="5" numFmtId="0" xfId="0" applyAlignment="1" applyBorder="1" applyFont="1">
      <alignment horizontal="right" vertical="bottom"/>
    </xf>
    <xf borderId="1" fillId="6" fontId="5" numFmtId="2" xfId="0" applyAlignment="1" applyBorder="1" applyFont="1" applyNumberFormat="1">
      <alignment horizontal="right" vertical="bottom"/>
    </xf>
    <xf borderId="4" fillId="7" fontId="3" numFmtId="0" xfId="0" applyAlignment="1" applyBorder="1" applyFill="1" applyFont="1">
      <alignment horizontal="center" shrinkToFit="0" wrapText="1"/>
    </xf>
    <xf borderId="1" fillId="7" fontId="5" numFmtId="0" xfId="0" applyAlignment="1" applyBorder="1" applyFont="1">
      <alignment horizontal="right" vertical="bottom"/>
    </xf>
    <xf borderId="1" fillId="7" fontId="5" numFmtId="2" xfId="0" applyAlignment="1" applyBorder="1" applyFont="1" applyNumberFormat="1">
      <alignment horizontal="right" vertical="bottom"/>
    </xf>
    <xf borderId="4" fillId="8" fontId="3" numFmtId="0" xfId="0" applyAlignment="1" applyBorder="1" applyFill="1" applyFont="1">
      <alignment horizontal="center" shrinkToFit="0" wrapText="1"/>
    </xf>
    <xf borderId="8" fillId="0" fontId="6" numFmtId="0" xfId="0" applyAlignment="1" applyBorder="1" applyFont="1">
      <alignment horizontal="center" vertical="bottom"/>
    </xf>
    <xf borderId="0" fillId="0" fontId="6" numFmtId="0" xfId="0" applyAlignment="1" applyFont="1">
      <alignment horizontal="center"/>
    </xf>
    <xf borderId="0" fillId="0" fontId="6" numFmtId="0" xfId="0" applyFont="1"/>
    <xf borderId="1" fillId="8" fontId="5" numFmtId="0" xfId="0" applyAlignment="1" applyBorder="1" applyFont="1">
      <alignment horizontal="right" vertical="bottom"/>
    </xf>
    <xf borderId="1" fillId="8" fontId="5" numFmtId="2" xfId="0" applyAlignment="1" applyBorder="1" applyFont="1" applyNumberFormat="1">
      <alignment horizontal="right" vertical="bottom"/>
    </xf>
    <xf borderId="6" fillId="0" fontId="6" numFmtId="0" xfId="0" applyAlignment="1" applyBorder="1" applyFont="1">
      <alignment horizontal="center" vertical="bottom"/>
    </xf>
    <xf borderId="7" fillId="0" fontId="6" numFmtId="0" xfId="0" applyAlignment="1" applyBorder="1" applyFont="1">
      <alignment horizontal="center"/>
    </xf>
    <xf borderId="7" fillId="0" fontId="6" numFmtId="0" xfId="0" applyBorder="1" applyFont="1"/>
    <xf borderId="4" fillId="2" fontId="3" numFmtId="0" xfId="0" applyAlignment="1" applyBorder="1" applyFont="1">
      <alignment horizontal="center" shrinkToFit="0" wrapText="1"/>
    </xf>
    <xf borderId="10" fillId="0" fontId="6" numFmtId="0" xfId="0" applyAlignment="1" applyBorder="1" applyFont="1">
      <alignment horizontal="center" vertical="bottom"/>
    </xf>
    <xf borderId="11" fillId="0" fontId="6" numFmtId="0" xfId="0" applyAlignment="1" applyBorder="1" applyFont="1">
      <alignment horizontal="center"/>
    </xf>
    <xf borderId="11" fillId="0" fontId="6" numFmtId="0" xfId="0" applyBorder="1" applyFont="1"/>
    <xf borderId="12" fillId="4" fontId="7" numFmtId="0" xfId="0" applyAlignment="1" applyBorder="1" applyFont="1">
      <alignment shrinkToFit="0" vertical="center" wrapText="1"/>
    </xf>
    <xf borderId="6" fillId="0" fontId="6" numFmtId="0" xfId="0" applyAlignment="1" applyBorder="1" applyFont="1">
      <alignment horizontal="center"/>
    </xf>
    <xf borderId="13" fillId="0" fontId="4" numFmtId="0" xfId="0" applyBorder="1" applyFont="1"/>
    <xf borderId="1" fillId="0" fontId="6" numFmtId="0" xfId="0" applyBorder="1" applyFont="1"/>
    <xf borderId="1" fillId="0" fontId="6" numFmtId="2" xfId="0" applyBorder="1" applyFont="1" applyNumberFormat="1"/>
    <xf borderId="4" fillId="3" fontId="8" numFmtId="0" xfId="0" applyAlignment="1" applyBorder="1" applyFont="1">
      <alignment horizontal="center"/>
    </xf>
    <xf borderId="11" fillId="3" fontId="6" numFmtId="0" xfId="0" applyBorder="1" applyFont="1"/>
    <xf borderId="5" fillId="3" fontId="6" numFmtId="2" xfId="0" applyBorder="1" applyFont="1" applyNumberFormat="1"/>
    <xf borderId="11" fillId="3" fontId="6" numFmtId="2" xfId="0" applyBorder="1" applyFont="1" applyNumberFormat="1"/>
    <xf borderId="5" fillId="3" fontId="6" numFmtId="0" xfId="0" applyAlignment="1" applyBorder="1" applyFont="1">
      <alignment horizontal="left"/>
    </xf>
    <xf borderId="9" fillId="6" fontId="6" numFmtId="0" xfId="0" applyBorder="1" applyFont="1"/>
    <xf borderId="4" fillId="6" fontId="8" numFmtId="0" xfId="0" applyAlignment="1" applyBorder="1" applyFont="1">
      <alignment horizontal="center"/>
    </xf>
    <xf borderId="4" fillId="6" fontId="6" numFmtId="0" xfId="0" applyBorder="1" applyFont="1"/>
    <xf borderId="5" fillId="6" fontId="6" numFmtId="2" xfId="0" applyBorder="1" applyFont="1" applyNumberFormat="1"/>
    <xf borderId="3" fillId="6" fontId="6" numFmtId="2" xfId="0" applyBorder="1" applyFont="1" applyNumberFormat="1"/>
    <xf borderId="5" fillId="6" fontId="6" numFmtId="0" xfId="0" applyAlignment="1" applyBorder="1" applyFont="1">
      <alignment horizontal="left"/>
    </xf>
    <xf borderId="9" fillId="7" fontId="6" numFmtId="0" xfId="0" applyBorder="1" applyFont="1"/>
    <xf borderId="9" fillId="7" fontId="6" numFmtId="0" xfId="0" applyAlignment="1" applyBorder="1" applyFont="1">
      <alignment readingOrder="0"/>
    </xf>
    <xf borderId="3" fillId="0" fontId="6" numFmtId="0" xfId="0" applyAlignment="1" applyBorder="1" applyFont="1">
      <alignment horizontal="center"/>
    </xf>
    <xf borderId="4" fillId="0" fontId="6" numFmtId="0" xfId="0" applyAlignment="1" applyBorder="1" applyFont="1">
      <alignment horizontal="center"/>
    </xf>
    <xf borderId="4" fillId="0" fontId="6" numFmtId="0" xfId="0" applyBorder="1" applyFont="1"/>
    <xf borderId="4" fillId="7" fontId="8" numFmtId="0" xfId="0" applyAlignment="1" applyBorder="1" applyFont="1">
      <alignment horizontal="center"/>
    </xf>
    <xf borderId="4" fillId="7" fontId="6" numFmtId="0" xfId="0" applyBorder="1" applyFont="1"/>
    <xf borderId="5" fillId="7" fontId="6" numFmtId="0" xfId="0" applyAlignment="1" applyBorder="1" applyFont="1">
      <alignment horizontal="left"/>
    </xf>
    <xf borderId="3" fillId="7" fontId="6" numFmtId="2" xfId="0" applyBorder="1" applyFont="1" applyNumberFormat="1"/>
    <xf borderId="9" fillId="8" fontId="6" numFmtId="0" xfId="0" applyBorder="1" applyFont="1"/>
    <xf borderId="9" fillId="8" fontId="6" numFmtId="0" xfId="0" applyAlignment="1" applyBorder="1" applyFont="1">
      <alignment readingOrder="0"/>
    </xf>
    <xf borderId="8" fillId="0" fontId="6" numFmtId="0" xfId="0" applyAlignment="1" applyBorder="1" applyFont="1">
      <alignment horizontal="center"/>
    </xf>
    <xf borderId="10" fillId="0" fontId="6" numFmtId="0" xfId="0" applyAlignment="1" applyBorder="1" applyFont="1">
      <alignment horizontal="center"/>
    </xf>
    <xf borderId="4" fillId="0" fontId="5" numFmtId="0" xfId="0" applyAlignment="1" applyBorder="1" applyFont="1">
      <alignment vertical="bottom"/>
    </xf>
    <xf borderId="4" fillId="8" fontId="8" numFmtId="0" xfId="0" applyAlignment="1" applyBorder="1" applyFont="1">
      <alignment horizontal="center"/>
    </xf>
    <xf borderId="14" fillId="8" fontId="6" numFmtId="0" xfId="0" applyBorder="1" applyFont="1"/>
    <xf borderId="4" fillId="8" fontId="6" numFmtId="0" xfId="0" applyBorder="1" applyFont="1"/>
    <xf borderId="5" fillId="8" fontId="6" numFmtId="0" xfId="0" applyAlignment="1" applyBorder="1" applyFont="1">
      <alignment horizontal="left"/>
    </xf>
    <xf borderId="3" fillId="8" fontId="6" numFmtId="2" xfId="0" applyBorder="1" applyFont="1" applyNumberFormat="1"/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14.0"/>
    <col customWidth="1" min="3" max="3" width="13.14"/>
    <col customWidth="1" min="4" max="4" width="53.14"/>
    <col customWidth="1" min="5" max="5" width="21.29"/>
    <col customWidth="1" min="6" max="6" width="16.43"/>
    <col customWidth="1" min="7" max="7" width="12.0"/>
    <col customWidth="1" min="8" max="8" width="7.0"/>
    <col customWidth="1" min="9" max="9" width="7.86"/>
    <col customWidth="1" min="10" max="10" width="7.57"/>
    <col customWidth="1" min="11" max="11" width="12.29"/>
    <col customWidth="1" min="12" max="12" width="14.29"/>
    <col customWidth="1" min="13" max="13" width="16.57"/>
    <col customWidth="1" min="14" max="14" width="8.43"/>
    <col customWidth="1" min="15" max="15" width="7.86"/>
    <col customWidth="1" min="16" max="16" width="13.29"/>
    <col customWidth="1" min="17" max="17" width="10.29"/>
    <col customWidth="1" min="18" max="18" width="14.0"/>
    <col customWidth="1" min="19" max="19" width="13.71"/>
    <col customWidth="1" min="20" max="33" width="10.71"/>
  </cols>
  <sheetData>
    <row r="1">
      <c r="A1" s="1" t="s">
        <v>0</v>
      </c>
      <c r="B1" s="1"/>
    </row>
    <row r="2">
      <c r="A2" s="1" t="s">
        <v>1</v>
      </c>
      <c r="B2" s="1"/>
    </row>
    <row r="3">
      <c r="A3" s="1"/>
      <c r="B3" s="1"/>
    </row>
    <row r="4" ht="30.75" customHeight="1">
      <c r="A4" s="2" t="s">
        <v>2</v>
      </c>
      <c r="B4" s="2">
        <f>SUM(E7:E128)</f>
        <v>394</v>
      </c>
    </row>
    <row r="6" ht="22.5" customHeight="1">
      <c r="A6" s="3" t="s">
        <v>3</v>
      </c>
      <c r="B6" s="4" t="s">
        <v>4</v>
      </c>
      <c r="C6" s="4" t="s">
        <v>5</v>
      </c>
      <c r="D6" s="5" t="s">
        <v>6</v>
      </c>
      <c r="E6" s="5" t="s">
        <v>7</v>
      </c>
      <c r="F6" s="6" t="s">
        <v>8</v>
      </c>
      <c r="G6" s="7" t="s">
        <v>9</v>
      </c>
      <c r="H6" s="8"/>
      <c r="I6" s="8"/>
      <c r="J6" s="8"/>
      <c r="K6" s="9"/>
      <c r="L6" s="10" t="s">
        <v>10</v>
      </c>
      <c r="M6" s="8"/>
      <c r="N6" s="9"/>
    </row>
    <row r="7">
      <c r="A7" s="11" t="s">
        <v>11</v>
      </c>
      <c r="B7" s="12" t="s">
        <v>11</v>
      </c>
      <c r="C7" s="13" t="s">
        <v>12</v>
      </c>
      <c r="D7" s="13" t="s">
        <v>13</v>
      </c>
      <c r="E7" s="12">
        <v>6.0</v>
      </c>
      <c r="F7" s="14" t="s">
        <v>14</v>
      </c>
      <c r="G7" s="15"/>
      <c r="H7" s="16" t="s">
        <v>15</v>
      </c>
      <c r="I7" s="16" t="s">
        <v>16</v>
      </c>
      <c r="J7" s="16" t="s">
        <v>17</v>
      </c>
      <c r="K7" s="17" t="s">
        <v>18</v>
      </c>
      <c r="L7" s="18">
        <f>(G31 * 100)/B4</f>
        <v>27.91878173</v>
      </c>
      <c r="M7" s="19" t="s">
        <v>19</v>
      </c>
      <c r="N7" s="9"/>
    </row>
    <row r="8">
      <c r="A8" s="20" t="s">
        <v>11</v>
      </c>
      <c r="B8" s="21" t="s">
        <v>11</v>
      </c>
      <c r="C8" s="22" t="s">
        <v>20</v>
      </c>
      <c r="D8" s="22" t="s">
        <v>21</v>
      </c>
      <c r="E8" s="21">
        <v>10.0</v>
      </c>
      <c r="F8" s="23" t="s">
        <v>14</v>
      </c>
      <c r="G8" s="24" t="s">
        <v>22</v>
      </c>
      <c r="H8" s="25">
        <v>0.0</v>
      </c>
      <c r="I8" s="25">
        <f t="array" ref="I8">COUNTA(UNIQUE(C7:C20))</f>
        <v>14</v>
      </c>
      <c r="J8" s="25">
        <f>SUM(E7:E20)</f>
        <v>71</v>
      </c>
      <c r="K8" s="26">
        <f>(J8 * 100)/B4</f>
        <v>18.02030457</v>
      </c>
      <c r="L8" s="18">
        <f>(G66 * 100)/B4</f>
        <v>25.88832487</v>
      </c>
      <c r="M8" s="19" t="s">
        <v>23</v>
      </c>
      <c r="N8" s="9"/>
    </row>
    <row r="9">
      <c r="A9" s="27" t="s">
        <v>11</v>
      </c>
      <c r="B9" s="28" t="s">
        <v>11</v>
      </c>
      <c r="C9" s="29" t="s">
        <v>24</v>
      </c>
      <c r="D9" s="29" t="s">
        <v>25</v>
      </c>
      <c r="E9" s="28">
        <v>8.0</v>
      </c>
      <c r="F9" s="23" t="s">
        <v>26</v>
      </c>
      <c r="G9" s="30" t="s">
        <v>27</v>
      </c>
      <c r="H9" s="31">
        <f t="shared" ref="H9:I9" si="1">COUNTA(UNIQUE(B21:B31))</f>
        <v>3</v>
      </c>
      <c r="I9" s="31">
        <f t="shared" si="1"/>
        <v>11</v>
      </c>
      <c r="J9" s="31">
        <f>SUM(E21:E31)</f>
        <v>39</v>
      </c>
      <c r="K9" s="32">
        <f>(J9 * 100)/B4</f>
        <v>9.898477157</v>
      </c>
      <c r="L9" s="18">
        <f>(G92 * 100)/B4</f>
        <v>21.57360406</v>
      </c>
      <c r="M9" s="19" t="s">
        <v>28</v>
      </c>
      <c r="N9" s="9"/>
    </row>
    <row r="10">
      <c r="A10" s="20" t="s">
        <v>11</v>
      </c>
      <c r="B10" s="12" t="s">
        <v>11</v>
      </c>
      <c r="C10" s="22" t="s">
        <v>29</v>
      </c>
      <c r="D10" s="13" t="s">
        <v>30</v>
      </c>
      <c r="E10" s="12">
        <v>4.0</v>
      </c>
      <c r="F10" s="23" t="s">
        <v>26</v>
      </c>
      <c r="G10" s="33" t="s">
        <v>31</v>
      </c>
      <c r="H10" s="34">
        <f t="shared" ref="H10:K10" si="2">SUM(H8,H9)</f>
        <v>3</v>
      </c>
      <c r="I10" s="34">
        <f t="shared" si="2"/>
        <v>25</v>
      </c>
      <c r="J10" s="34">
        <f t="shared" si="2"/>
        <v>110</v>
      </c>
      <c r="K10" s="35">
        <f t="shared" si="2"/>
        <v>27.91878173</v>
      </c>
      <c r="L10" s="18">
        <f>(G123 * 100)/B4</f>
        <v>24.61928934</v>
      </c>
      <c r="M10" s="19" t="s">
        <v>32</v>
      </c>
      <c r="N10" s="9"/>
    </row>
    <row r="11">
      <c r="A11" s="20" t="s">
        <v>11</v>
      </c>
      <c r="B11" s="21" t="s">
        <v>11</v>
      </c>
      <c r="C11" s="22" t="s">
        <v>33</v>
      </c>
      <c r="D11" s="22" t="s">
        <v>34</v>
      </c>
      <c r="E11" s="21">
        <v>4.0</v>
      </c>
      <c r="F11" s="23" t="s">
        <v>14</v>
      </c>
      <c r="G11" s="36" t="s">
        <v>35</v>
      </c>
      <c r="H11" s="8"/>
      <c r="I11" s="8"/>
      <c r="J11" s="8"/>
      <c r="K11" s="9"/>
      <c r="L11" s="37">
        <f>SUM(L10,L9,L8,L7)</f>
        <v>100</v>
      </c>
      <c r="M11" s="38" t="s">
        <v>18</v>
      </c>
      <c r="N11" s="9"/>
    </row>
    <row r="12">
      <c r="A12" s="20" t="s">
        <v>11</v>
      </c>
      <c r="B12" s="21" t="s">
        <v>11</v>
      </c>
      <c r="C12" s="22" t="s">
        <v>36</v>
      </c>
      <c r="D12" s="22" t="s">
        <v>37</v>
      </c>
      <c r="E12" s="21">
        <v>5.0</v>
      </c>
      <c r="F12" s="23" t="s">
        <v>26</v>
      </c>
      <c r="G12" s="15"/>
      <c r="H12" s="16" t="s">
        <v>15</v>
      </c>
      <c r="I12" s="16" t="s">
        <v>16</v>
      </c>
      <c r="J12" s="16" t="s">
        <v>17</v>
      </c>
      <c r="K12" s="17" t="s">
        <v>18</v>
      </c>
      <c r="L12" s="39">
        <f t="array" ref="L12">COUNTA(UNIQUE(B7:B135))</f>
        <v>39</v>
      </c>
      <c r="M12" s="40" t="s">
        <v>38</v>
      </c>
      <c r="N12" s="9"/>
    </row>
    <row r="13">
      <c r="A13" s="11" t="s">
        <v>11</v>
      </c>
      <c r="B13" s="12" t="s">
        <v>11</v>
      </c>
      <c r="C13" s="13" t="s">
        <v>39</v>
      </c>
      <c r="D13" s="13" t="s">
        <v>40</v>
      </c>
      <c r="E13" s="12">
        <v>4.0</v>
      </c>
      <c r="F13" s="23" t="s">
        <v>26</v>
      </c>
      <c r="G13" s="30" t="s">
        <v>27</v>
      </c>
      <c r="H13" s="25">
        <f t="shared" ref="H13:I13" si="3">COUNTA(UNIQUE(B32:B66))</f>
        <v>12</v>
      </c>
      <c r="I13" s="25">
        <f t="shared" si="3"/>
        <v>35</v>
      </c>
      <c r="J13" s="25">
        <f>SUM(E32:E66)</f>
        <v>102</v>
      </c>
      <c r="K13" s="26">
        <f>(J13 * 100)/B4</f>
        <v>25.88832487</v>
      </c>
      <c r="L13" s="39">
        <f>SUM(I8,I9,I13,I17,I21,I22)</f>
        <v>117</v>
      </c>
      <c r="M13" s="40" t="s">
        <v>41</v>
      </c>
      <c r="N13" s="9"/>
    </row>
    <row r="14">
      <c r="A14" s="20" t="s">
        <v>11</v>
      </c>
      <c r="B14" s="21" t="s">
        <v>11</v>
      </c>
      <c r="C14" s="22" t="s">
        <v>42</v>
      </c>
      <c r="D14" s="22" t="s">
        <v>43</v>
      </c>
      <c r="E14" s="21">
        <v>6.0</v>
      </c>
      <c r="F14" s="23" t="s">
        <v>26</v>
      </c>
      <c r="G14" s="33" t="s">
        <v>44</v>
      </c>
      <c r="H14" s="41">
        <f t="shared" ref="H14:K14" si="4">SUM(H13)</f>
        <v>12</v>
      </c>
      <c r="I14" s="41">
        <f t="shared" si="4"/>
        <v>35</v>
      </c>
      <c r="J14" s="41">
        <f t="shared" si="4"/>
        <v>102</v>
      </c>
      <c r="K14" s="42">
        <f t="shared" si="4"/>
        <v>25.88832487</v>
      </c>
      <c r="L14" s="39">
        <f>SUM(E7:E129)</f>
        <v>394</v>
      </c>
      <c r="M14" s="40" t="s">
        <v>45</v>
      </c>
      <c r="N14" s="9"/>
    </row>
    <row r="15">
      <c r="A15" s="20" t="s">
        <v>11</v>
      </c>
      <c r="B15" s="21" t="s">
        <v>11</v>
      </c>
      <c r="C15" s="22" t="s">
        <v>46</v>
      </c>
      <c r="D15" s="22" t="s">
        <v>47</v>
      </c>
      <c r="E15" s="21">
        <v>4.0</v>
      </c>
      <c r="F15" s="23" t="s">
        <v>14</v>
      </c>
      <c r="G15" s="43" t="s">
        <v>48</v>
      </c>
      <c r="H15" s="8"/>
      <c r="I15" s="8"/>
      <c r="J15" s="8"/>
      <c r="K15" s="9"/>
      <c r="L15" s="22"/>
    </row>
    <row r="16">
      <c r="A16" s="27" t="s">
        <v>11</v>
      </c>
      <c r="B16" s="28" t="s">
        <v>11</v>
      </c>
      <c r="C16" s="29" t="s">
        <v>49</v>
      </c>
      <c r="D16" s="29" t="s">
        <v>50</v>
      </c>
      <c r="E16" s="28">
        <v>5.0</v>
      </c>
      <c r="F16" s="23" t="s">
        <v>14</v>
      </c>
      <c r="G16" s="15"/>
      <c r="H16" s="16" t="s">
        <v>15</v>
      </c>
      <c r="I16" s="16" t="s">
        <v>16</v>
      </c>
      <c r="J16" s="16" t="s">
        <v>17</v>
      </c>
      <c r="K16" s="17" t="s">
        <v>18</v>
      </c>
      <c r="L16" s="22"/>
    </row>
    <row r="17">
      <c r="A17" s="11" t="s">
        <v>11</v>
      </c>
      <c r="B17" s="12" t="s">
        <v>11</v>
      </c>
      <c r="C17" s="22" t="s">
        <v>51</v>
      </c>
      <c r="D17" s="13" t="s">
        <v>52</v>
      </c>
      <c r="E17" s="12">
        <v>5.0</v>
      </c>
      <c r="F17" s="23" t="s">
        <v>14</v>
      </c>
      <c r="G17" s="30" t="s">
        <v>53</v>
      </c>
      <c r="H17" s="31">
        <f t="shared" ref="H17:I17" si="5">COUNTA(UNIQUE(B67:B92))</f>
        <v>9</v>
      </c>
      <c r="I17" s="31">
        <f t="shared" si="5"/>
        <v>26</v>
      </c>
      <c r="J17" s="31">
        <f>SUM(E67:E92)</f>
        <v>85</v>
      </c>
      <c r="K17" s="32">
        <f>(J17 * 100)/B4</f>
        <v>21.57360406</v>
      </c>
      <c r="L17" s="22"/>
    </row>
    <row r="18">
      <c r="A18" s="20" t="s">
        <v>11</v>
      </c>
      <c r="B18" s="21" t="s">
        <v>11</v>
      </c>
      <c r="C18" s="22" t="s">
        <v>54</v>
      </c>
      <c r="D18" s="22" t="s">
        <v>55</v>
      </c>
      <c r="E18" s="21">
        <v>3.0</v>
      </c>
      <c r="F18" s="23" t="s">
        <v>14</v>
      </c>
      <c r="G18" s="33" t="s">
        <v>56</v>
      </c>
      <c r="H18" s="44">
        <f t="shared" ref="H18:K18" si="6">SUM(H17)</f>
        <v>9</v>
      </c>
      <c r="I18" s="44">
        <f t="shared" si="6"/>
        <v>26</v>
      </c>
      <c r="J18" s="44">
        <f t="shared" si="6"/>
        <v>85</v>
      </c>
      <c r="K18" s="45">
        <f t="shared" si="6"/>
        <v>21.57360406</v>
      </c>
      <c r="L18" s="22"/>
    </row>
    <row r="19">
      <c r="A19" s="11" t="s">
        <v>11</v>
      </c>
      <c r="B19" s="12" t="s">
        <v>11</v>
      </c>
      <c r="C19" s="13" t="s">
        <v>57</v>
      </c>
      <c r="D19" s="13" t="s">
        <v>58</v>
      </c>
      <c r="E19" s="12">
        <v>4.0</v>
      </c>
      <c r="F19" s="23" t="s">
        <v>14</v>
      </c>
      <c r="G19" s="46" t="s">
        <v>59</v>
      </c>
      <c r="H19" s="8"/>
      <c r="I19" s="8"/>
      <c r="J19" s="8"/>
      <c r="K19" s="9"/>
      <c r="L19" s="22"/>
    </row>
    <row r="20">
      <c r="A20" s="27" t="s">
        <v>11</v>
      </c>
      <c r="B20" s="28" t="s">
        <v>11</v>
      </c>
      <c r="C20" s="29" t="s">
        <v>60</v>
      </c>
      <c r="D20" s="29" t="s">
        <v>61</v>
      </c>
      <c r="E20" s="28">
        <v>3.0</v>
      </c>
      <c r="F20" s="23" t="s">
        <v>14</v>
      </c>
      <c r="G20" s="15"/>
      <c r="H20" s="16" t="s">
        <v>15</v>
      </c>
      <c r="I20" s="16" t="s">
        <v>16</v>
      </c>
      <c r="J20" s="16" t="s">
        <v>17</v>
      </c>
      <c r="K20" s="17" t="s">
        <v>18</v>
      </c>
    </row>
    <row r="21">
      <c r="A21" s="47" t="s">
        <v>62</v>
      </c>
      <c r="B21" s="48" t="s">
        <v>63</v>
      </c>
      <c r="C21" s="22" t="s">
        <v>64</v>
      </c>
      <c r="D21" s="49" t="s">
        <v>65</v>
      </c>
      <c r="E21" s="48">
        <v>4.0</v>
      </c>
      <c r="F21" s="23" t="s">
        <v>14</v>
      </c>
      <c r="G21" s="30" t="s">
        <v>66</v>
      </c>
      <c r="H21" s="25">
        <f t="shared" ref="H21:I21" si="7">COUNTA(UNIQUE(B93:B112))</f>
        <v>8</v>
      </c>
      <c r="I21" s="25">
        <f t="shared" si="7"/>
        <v>20</v>
      </c>
      <c r="J21" s="25">
        <f>SUM(E93:E112)</f>
        <v>64</v>
      </c>
      <c r="K21" s="26">
        <f>(J21 * 100)/B4</f>
        <v>16.24365482</v>
      </c>
    </row>
    <row r="22">
      <c r="A22" s="47" t="s">
        <v>62</v>
      </c>
      <c r="B22" s="48" t="s">
        <v>63</v>
      </c>
      <c r="C22" s="22" t="s">
        <v>67</v>
      </c>
      <c r="D22" s="49" t="s">
        <v>68</v>
      </c>
      <c r="E22" s="48">
        <v>3.0</v>
      </c>
      <c r="F22" s="23" t="s">
        <v>14</v>
      </c>
      <c r="G22" s="30" t="s">
        <v>69</v>
      </c>
      <c r="H22" s="31">
        <f t="shared" ref="H22:I22" si="8">COUNTA(UNIQUE(B113:B128))</f>
        <v>6</v>
      </c>
      <c r="I22" s="31">
        <f t="shared" si="8"/>
        <v>11</v>
      </c>
      <c r="J22" s="31">
        <f>SUM(E113:E128)</f>
        <v>33</v>
      </c>
      <c r="K22" s="32">
        <f>(J22 * 100)/B4</f>
        <v>8.375634518</v>
      </c>
    </row>
    <row r="23" ht="15.75" customHeight="1">
      <c r="A23" s="47" t="s">
        <v>62</v>
      </c>
      <c r="B23" s="48" t="s">
        <v>63</v>
      </c>
      <c r="C23" s="22" t="s">
        <v>70</v>
      </c>
      <c r="D23" s="49" t="s">
        <v>71</v>
      </c>
      <c r="E23" s="48">
        <v>2.0</v>
      </c>
      <c r="F23" s="23" t="s">
        <v>14</v>
      </c>
      <c r="G23" s="33" t="s">
        <v>72</v>
      </c>
      <c r="H23" s="50">
        <f t="shared" ref="H23:K23" si="9">SUM(H21,H22)</f>
        <v>14</v>
      </c>
      <c r="I23" s="50">
        <f t="shared" si="9"/>
        <v>31</v>
      </c>
      <c r="J23" s="50">
        <f t="shared" si="9"/>
        <v>97</v>
      </c>
      <c r="K23" s="51">
        <f t="shared" si="9"/>
        <v>24.61928934</v>
      </c>
    </row>
    <row r="24" ht="15.75" customHeight="1">
      <c r="A24" s="52" t="s">
        <v>62</v>
      </c>
      <c r="B24" s="53" t="s">
        <v>73</v>
      </c>
      <c r="C24" s="13" t="s">
        <v>74</v>
      </c>
      <c r="D24" s="54" t="s">
        <v>75</v>
      </c>
      <c r="E24" s="53">
        <v>4.0</v>
      </c>
      <c r="F24" s="23" t="s">
        <v>14</v>
      </c>
      <c r="G24" s="55" t="s">
        <v>76</v>
      </c>
      <c r="H24" s="8"/>
      <c r="I24" s="8"/>
      <c r="J24" s="8"/>
      <c r="K24" s="9"/>
    </row>
    <row r="25" ht="15.75" customHeight="1">
      <c r="A25" s="56" t="s">
        <v>62</v>
      </c>
      <c r="B25" s="57" t="s">
        <v>73</v>
      </c>
      <c r="C25" s="29" t="s">
        <v>77</v>
      </c>
      <c r="D25" s="58" t="s">
        <v>78</v>
      </c>
      <c r="E25" s="57">
        <v>2.0</v>
      </c>
      <c r="F25" s="23" t="s">
        <v>14</v>
      </c>
      <c r="G25" s="59" t="s">
        <v>10</v>
      </c>
      <c r="H25" s="16" t="s">
        <v>15</v>
      </c>
      <c r="I25" s="16" t="s">
        <v>16</v>
      </c>
      <c r="J25" s="16" t="s">
        <v>17</v>
      </c>
      <c r="K25" s="17" t="s">
        <v>18</v>
      </c>
    </row>
    <row r="26" ht="15.75" customHeight="1">
      <c r="A26" s="60" t="s">
        <v>62</v>
      </c>
      <c r="B26" s="53" t="s">
        <v>79</v>
      </c>
      <c r="C26" s="13" t="s">
        <v>80</v>
      </c>
      <c r="D26" s="54" t="s">
        <v>81</v>
      </c>
      <c r="E26" s="53">
        <v>5.0</v>
      </c>
      <c r="F26" s="23" t="s">
        <v>26</v>
      </c>
      <c r="G26" s="61"/>
      <c r="H26" s="62">
        <f t="shared" ref="H26:K26" si="10">SUM(H23,H18,H14,H10)</f>
        <v>38</v>
      </c>
      <c r="I26" s="62">
        <f t="shared" si="10"/>
        <v>117</v>
      </c>
      <c r="J26" s="62">
        <f t="shared" si="10"/>
        <v>394</v>
      </c>
      <c r="K26" s="63">
        <f t="shared" si="10"/>
        <v>100</v>
      </c>
    </row>
    <row r="27" ht="15.75" customHeight="1">
      <c r="A27" s="47" t="s">
        <v>62</v>
      </c>
      <c r="B27" s="48" t="s">
        <v>79</v>
      </c>
      <c r="C27" s="22" t="s">
        <v>82</v>
      </c>
      <c r="D27" s="49" t="s">
        <v>83</v>
      </c>
      <c r="E27" s="48">
        <v>5.0</v>
      </c>
      <c r="F27" s="23" t="s">
        <v>26</v>
      </c>
    </row>
    <row r="28" ht="15.75" customHeight="1">
      <c r="A28" s="47" t="s">
        <v>62</v>
      </c>
      <c r="B28" s="48" t="s">
        <v>79</v>
      </c>
      <c r="C28" s="22" t="s">
        <v>84</v>
      </c>
      <c r="D28" s="49" t="s">
        <v>85</v>
      </c>
      <c r="E28" s="48">
        <v>3.0</v>
      </c>
      <c r="F28" s="23" t="s">
        <v>26</v>
      </c>
    </row>
    <row r="29" ht="15.75" customHeight="1">
      <c r="A29" s="47" t="s">
        <v>62</v>
      </c>
      <c r="B29" s="48" t="s">
        <v>79</v>
      </c>
      <c r="C29" s="22" t="s">
        <v>86</v>
      </c>
      <c r="D29" s="49" t="s">
        <v>87</v>
      </c>
      <c r="E29" s="48">
        <v>5.0</v>
      </c>
      <c r="F29" s="23" t="s">
        <v>14</v>
      </c>
    </row>
    <row r="30" ht="15.75" customHeight="1">
      <c r="A30" s="47" t="s">
        <v>62</v>
      </c>
      <c r="B30" s="48" t="s">
        <v>79</v>
      </c>
      <c r="C30" s="22" t="s">
        <v>88</v>
      </c>
      <c r="D30" s="49" t="s">
        <v>89</v>
      </c>
      <c r="E30" s="48">
        <v>4.0</v>
      </c>
      <c r="F30" s="23" t="s">
        <v>14</v>
      </c>
      <c r="G30" s="64" t="s">
        <v>9</v>
      </c>
      <c r="H30" s="8"/>
      <c r="I30" s="8"/>
      <c r="J30" s="9"/>
    </row>
    <row r="31" ht="15.75" customHeight="1">
      <c r="A31" s="56" t="s">
        <v>62</v>
      </c>
      <c r="B31" s="57" t="s">
        <v>79</v>
      </c>
      <c r="C31" s="29" t="s">
        <v>90</v>
      </c>
      <c r="D31" s="58" t="s">
        <v>91</v>
      </c>
      <c r="E31" s="57">
        <v>2.0</v>
      </c>
      <c r="F31" s="23" t="s">
        <v>26</v>
      </c>
      <c r="G31" s="65">
        <f>SUM(E7:E31)</f>
        <v>110</v>
      </c>
      <c r="H31" s="66" t="s">
        <v>17</v>
      </c>
      <c r="I31" s="67">
        <f>(G31 * 100)/B4</f>
        <v>27.91878173</v>
      </c>
      <c r="J31" s="68" t="s">
        <v>92</v>
      </c>
    </row>
    <row r="32" ht="15.75" customHeight="1">
      <c r="A32" s="52" t="s">
        <v>62</v>
      </c>
      <c r="B32" s="53" t="s">
        <v>93</v>
      </c>
      <c r="C32" s="13" t="s">
        <v>94</v>
      </c>
      <c r="D32" s="54" t="s">
        <v>95</v>
      </c>
      <c r="E32" s="53">
        <v>4.0</v>
      </c>
      <c r="F32" s="69" t="s">
        <v>14</v>
      </c>
    </row>
    <row r="33" ht="15.75" customHeight="1">
      <c r="A33" s="47" t="s">
        <v>62</v>
      </c>
      <c r="B33" s="48" t="s">
        <v>93</v>
      </c>
      <c r="C33" s="22" t="s">
        <v>96</v>
      </c>
      <c r="D33" s="49" t="s">
        <v>97</v>
      </c>
      <c r="E33" s="48">
        <v>3.0</v>
      </c>
      <c r="F33" s="69" t="s">
        <v>98</v>
      </c>
    </row>
    <row r="34" ht="15.75" customHeight="1">
      <c r="A34" s="56" t="s">
        <v>62</v>
      </c>
      <c r="B34" s="57" t="s">
        <v>93</v>
      </c>
      <c r="C34" s="29" t="s">
        <v>99</v>
      </c>
      <c r="D34" s="58" t="s">
        <v>100</v>
      </c>
      <c r="E34" s="57">
        <v>2.0</v>
      </c>
      <c r="F34" s="69" t="s">
        <v>14</v>
      </c>
    </row>
    <row r="35" ht="15.75" customHeight="1">
      <c r="A35" s="52" t="s">
        <v>62</v>
      </c>
      <c r="B35" s="53" t="s">
        <v>101</v>
      </c>
      <c r="C35" s="22" t="s">
        <v>102</v>
      </c>
      <c r="D35" s="54" t="s">
        <v>103</v>
      </c>
      <c r="E35" s="53">
        <v>3.0</v>
      </c>
      <c r="F35" s="69" t="s">
        <v>14</v>
      </c>
    </row>
    <row r="36" ht="15.75" customHeight="1">
      <c r="A36" s="56" t="s">
        <v>62</v>
      </c>
      <c r="B36" s="57" t="s">
        <v>101</v>
      </c>
      <c r="C36" s="22" t="s">
        <v>104</v>
      </c>
      <c r="D36" s="58" t="s">
        <v>105</v>
      </c>
      <c r="E36" s="57">
        <v>2.0</v>
      </c>
      <c r="F36" s="69" t="s">
        <v>98</v>
      </c>
    </row>
    <row r="37" ht="15.75" customHeight="1">
      <c r="A37" s="52" t="s">
        <v>62</v>
      </c>
      <c r="B37" s="53" t="s">
        <v>106</v>
      </c>
      <c r="C37" s="13" t="s">
        <v>107</v>
      </c>
      <c r="D37" s="54" t="s">
        <v>108</v>
      </c>
      <c r="E37" s="53">
        <v>4.0</v>
      </c>
      <c r="F37" s="69" t="s">
        <v>14</v>
      </c>
    </row>
    <row r="38" ht="15.75" customHeight="1">
      <c r="A38" s="47" t="s">
        <v>62</v>
      </c>
      <c r="B38" s="48" t="s">
        <v>106</v>
      </c>
      <c r="C38" s="22" t="s">
        <v>109</v>
      </c>
      <c r="D38" s="49" t="s">
        <v>110</v>
      </c>
      <c r="E38" s="48">
        <v>4.0</v>
      </c>
      <c r="F38" s="69" t="s">
        <v>98</v>
      </c>
    </row>
    <row r="39" ht="15.75" customHeight="1">
      <c r="A39" s="47" t="s">
        <v>62</v>
      </c>
      <c r="B39" s="48" t="s">
        <v>106</v>
      </c>
      <c r="C39" s="22" t="s">
        <v>111</v>
      </c>
      <c r="D39" s="49" t="s">
        <v>112</v>
      </c>
      <c r="E39" s="48">
        <v>2.0</v>
      </c>
      <c r="F39" s="69" t="s">
        <v>98</v>
      </c>
    </row>
    <row r="40" ht="15.75" customHeight="1">
      <c r="A40" s="56" t="s">
        <v>62</v>
      </c>
      <c r="B40" s="57" t="s">
        <v>106</v>
      </c>
      <c r="C40" s="29" t="s">
        <v>113</v>
      </c>
      <c r="D40" s="58" t="s">
        <v>114</v>
      </c>
      <c r="E40" s="57">
        <v>2.0</v>
      </c>
      <c r="F40" s="69" t="s">
        <v>98</v>
      </c>
    </row>
    <row r="41" ht="15.75" customHeight="1">
      <c r="A41" s="52" t="s">
        <v>62</v>
      </c>
      <c r="B41" s="53" t="s">
        <v>115</v>
      </c>
      <c r="C41" s="22" t="s">
        <v>116</v>
      </c>
      <c r="D41" s="54" t="s">
        <v>117</v>
      </c>
      <c r="E41" s="53">
        <v>3.0</v>
      </c>
      <c r="F41" s="69" t="s">
        <v>14</v>
      </c>
    </row>
    <row r="42" ht="15.75" customHeight="1">
      <c r="A42" s="47" t="s">
        <v>62</v>
      </c>
      <c r="B42" s="48" t="s">
        <v>115</v>
      </c>
      <c r="C42" s="22" t="s">
        <v>118</v>
      </c>
      <c r="D42" s="49" t="s">
        <v>119</v>
      </c>
      <c r="E42" s="48">
        <v>3.0</v>
      </c>
      <c r="F42" s="69" t="s">
        <v>98</v>
      </c>
    </row>
    <row r="43" ht="15.75" customHeight="1">
      <c r="A43" s="56" t="s">
        <v>62</v>
      </c>
      <c r="B43" s="57" t="s">
        <v>115</v>
      </c>
      <c r="C43" s="22" t="s">
        <v>120</v>
      </c>
      <c r="D43" s="58" t="s">
        <v>121</v>
      </c>
      <c r="E43" s="57">
        <v>2.0</v>
      </c>
      <c r="F43" s="69" t="s">
        <v>98</v>
      </c>
    </row>
    <row r="44" ht="15.75" customHeight="1">
      <c r="A44" s="52" t="s">
        <v>62</v>
      </c>
      <c r="B44" s="53" t="s">
        <v>122</v>
      </c>
      <c r="C44" s="13" t="s">
        <v>123</v>
      </c>
      <c r="D44" s="54" t="s">
        <v>124</v>
      </c>
      <c r="E44" s="53">
        <v>2.0</v>
      </c>
      <c r="F44" s="69" t="s">
        <v>14</v>
      </c>
    </row>
    <row r="45" ht="15.75" customHeight="1">
      <c r="A45" s="56" t="s">
        <v>62</v>
      </c>
      <c r="B45" s="57" t="s">
        <v>122</v>
      </c>
      <c r="C45" s="29" t="s">
        <v>125</v>
      </c>
      <c r="D45" s="58" t="s">
        <v>126</v>
      </c>
      <c r="E45" s="57">
        <v>2.0</v>
      </c>
      <c r="F45" s="69" t="s">
        <v>26</v>
      </c>
    </row>
    <row r="46" ht="15.75" customHeight="1">
      <c r="A46" s="52" t="s">
        <v>62</v>
      </c>
      <c r="B46" s="53" t="s">
        <v>127</v>
      </c>
      <c r="C46" s="22" t="s">
        <v>128</v>
      </c>
      <c r="D46" s="54" t="s">
        <v>129</v>
      </c>
      <c r="E46" s="53">
        <v>4.0</v>
      </c>
      <c r="F46" s="69" t="s">
        <v>14</v>
      </c>
    </row>
    <row r="47" ht="15.75" customHeight="1">
      <c r="A47" s="47" t="s">
        <v>62</v>
      </c>
      <c r="B47" s="48" t="s">
        <v>127</v>
      </c>
      <c r="C47" s="22" t="s">
        <v>130</v>
      </c>
      <c r="D47" s="49" t="s">
        <v>131</v>
      </c>
      <c r="E47" s="48">
        <v>4.0</v>
      </c>
      <c r="F47" s="69" t="s">
        <v>26</v>
      </c>
    </row>
    <row r="48" ht="15.75" customHeight="1">
      <c r="A48" s="47" t="s">
        <v>62</v>
      </c>
      <c r="B48" s="48" t="s">
        <v>127</v>
      </c>
      <c r="C48" s="22" t="s">
        <v>132</v>
      </c>
      <c r="D48" s="49" t="s">
        <v>133</v>
      </c>
      <c r="E48" s="48">
        <v>2.0</v>
      </c>
      <c r="F48" s="69" t="s">
        <v>26</v>
      </c>
    </row>
    <row r="49" ht="15.75" customHeight="1">
      <c r="A49" s="56" t="s">
        <v>62</v>
      </c>
      <c r="B49" s="57" t="s">
        <v>127</v>
      </c>
      <c r="C49" s="22" t="s">
        <v>134</v>
      </c>
      <c r="D49" s="58" t="s">
        <v>135</v>
      </c>
      <c r="E49" s="57">
        <v>2.0</v>
      </c>
      <c r="F49" s="69" t="s">
        <v>26</v>
      </c>
    </row>
    <row r="50" ht="15.75" customHeight="1">
      <c r="A50" s="52" t="s">
        <v>62</v>
      </c>
      <c r="B50" s="53" t="s">
        <v>136</v>
      </c>
      <c r="C50" s="13" t="s">
        <v>137</v>
      </c>
      <c r="D50" s="54" t="s">
        <v>138</v>
      </c>
      <c r="E50" s="53">
        <v>3.0</v>
      </c>
      <c r="F50" s="69" t="s">
        <v>14</v>
      </c>
    </row>
    <row r="51" ht="15.75" customHeight="1">
      <c r="A51" s="47" t="s">
        <v>62</v>
      </c>
      <c r="B51" s="48" t="s">
        <v>136</v>
      </c>
      <c r="C51" s="22" t="s">
        <v>139</v>
      </c>
      <c r="D51" s="49" t="s">
        <v>140</v>
      </c>
      <c r="E51" s="48">
        <v>3.0</v>
      </c>
      <c r="F51" s="69" t="s">
        <v>26</v>
      </c>
    </row>
    <row r="52" ht="15.75" customHeight="1">
      <c r="A52" s="56" t="s">
        <v>62</v>
      </c>
      <c r="B52" s="57" t="s">
        <v>136</v>
      </c>
      <c r="C52" s="29" t="s">
        <v>141</v>
      </c>
      <c r="D52" s="58" t="s">
        <v>142</v>
      </c>
      <c r="E52" s="57">
        <v>2.0</v>
      </c>
      <c r="F52" s="69" t="s">
        <v>26</v>
      </c>
    </row>
    <row r="53" ht="15.75" customHeight="1">
      <c r="A53" s="52" t="s">
        <v>62</v>
      </c>
      <c r="B53" s="53" t="s">
        <v>143</v>
      </c>
      <c r="C53" s="22" t="s">
        <v>144</v>
      </c>
      <c r="D53" s="54" t="s">
        <v>145</v>
      </c>
      <c r="E53" s="53">
        <v>2.0</v>
      </c>
      <c r="F53" s="69" t="s">
        <v>26</v>
      </c>
    </row>
    <row r="54" ht="15.75" customHeight="1">
      <c r="A54" s="56" t="s">
        <v>62</v>
      </c>
      <c r="B54" s="57" t="s">
        <v>143</v>
      </c>
      <c r="C54" s="22" t="s">
        <v>146</v>
      </c>
      <c r="D54" s="58" t="s">
        <v>147</v>
      </c>
      <c r="E54" s="57">
        <v>2.0</v>
      </c>
      <c r="F54" s="69" t="s">
        <v>26</v>
      </c>
    </row>
    <row r="55" ht="15.75" customHeight="1">
      <c r="A55" s="52" t="s">
        <v>62</v>
      </c>
      <c r="B55" s="53" t="s">
        <v>148</v>
      </c>
      <c r="C55" s="13" t="s">
        <v>149</v>
      </c>
      <c r="D55" s="54" t="s">
        <v>150</v>
      </c>
      <c r="E55" s="53">
        <v>4.0</v>
      </c>
      <c r="F55" s="69" t="s">
        <v>14</v>
      </c>
    </row>
    <row r="56" ht="15.75" customHeight="1">
      <c r="A56" s="47" t="s">
        <v>62</v>
      </c>
      <c r="B56" s="48" t="s">
        <v>148</v>
      </c>
      <c r="C56" s="22" t="s">
        <v>151</v>
      </c>
      <c r="D56" s="49" t="s">
        <v>152</v>
      </c>
      <c r="E56" s="48">
        <v>4.0</v>
      </c>
      <c r="F56" s="69" t="s">
        <v>98</v>
      </c>
    </row>
    <row r="57" ht="15.75" customHeight="1">
      <c r="A57" s="56" t="s">
        <v>62</v>
      </c>
      <c r="B57" s="57" t="s">
        <v>148</v>
      </c>
      <c r="C57" s="29" t="s">
        <v>153</v>
      </c>
      <c r="D57" s="58" t="s">
        <v>154</v>
      </c>
      <c r="E57" s="57">
        <v>2.0</v>
      </c>
      <c r="F57" s="69" t="s">
        <v>98</v>
      </c>
    </row>
    <row r="58" ht="15.75" customHeight="1">
      <c r="A58" s="52" t="s">
        <v>62</v>
      </c>
      <c r="B58" s="53" t="s">
        <v>155</v>
      </c>
      <c r="C58" s="22" t="s">
        <v>156</v>
      </c>
      <c r="D58" s="54" t="s">
        <v>157</v>
      </c>
      <c r="E58" s="53">
        <v>3.0</v>
      </c>
      <c r="F58" s="69" t="s">
        <v>14</v>
      </c>
    </row>
    <row r="59" ht="15.75" customHeight="1">
      <c r="A59" s="47" t="s">
        <v>62</v>
      </c>
      <c r="B59" s="48" t="s">
        <v>155</v>
      </c>
      <c r="C59" s="22" t="s">
        <v>158</v>
      </c>
      <c r="D59" s="49" t="s">
        <v>159</v>
      </c>
      <c r="E59" s="48">
        <v>3.0</v>
      </c>
      <c r="F59" s="69" t="s">
        <v>98</v>
      </c>
    </row>
    <row r="60" ht="15.75" customHeight="1">
      <c r="A60" s="56" t="s">
        <v>62</v>
      </c>
      <c r="B60" s="57" t="s">
        <v>155</v>
      </c>
      <c r="C60" s="22" t="s">
        <v>160</v>
      </c>
      <c r="D60" s="58" t="s">
        <v>161</v>
      </c>
      <c r="E60" s="57">
        <v>2.0</v>
      </c>
      <c r="F60" s="69" t="s">
        <v>98</v>
      </c>
    </row>
    <row r="61" ht="15.75" customHeight="1">
      <c r="A61" s="52" t="s">
        <v>62</v>
      </c>
      <c r="B61" s="53" t="s">
        <v>162</v>
      </c>
      <c r="C61" s="13" t="s">
        <v>163</v>
      </c>
      <c r="D61" s="54" t="s">
        <v>164</v>
      </c>
      <c r="E61" s="53">
        <v>2.0</v>
      </c>
      <c r="F61" s="69" t="s">
        <v>14</v>
      </c>
    </row>
    <row r="62" ht="15.75" customHeight="1">
      <c r="A62" s="56" t="s">
        <v>62</v>
      </c>
      <c r="B62" s="57" t="s">
        <v>162</v>
      </c>
      <c r="C62" s="29" t="s">
        <v>165</v>
      </c>
      <c r="D62" s="58" t="s">
        <v>166</v>
      </c>
      <c r="E62" s="57">
        <v>2.0</v>
      </c>
      <c r="F62" s="69" t="s">
        <v>98</v>
      </c>
    </row>
    <row r="63" ht="15.75" customHeight="1">
      <c r="A63" s="52" t="s">
        <v>62</v>
      </c>
      <c r="B63" s="53" t="s">
        <v>167</v>
      </c>
      <c r="C63" s="22" t="s">
        <v>168</v>
      </c>
      <c r="D63" s="54" t="s">
        <v>169</v>
      </c>
      <c r="E63" s="53">
        <v>6.0</v>
      </c>
      <c r="F63" s="69" t="s">
        <v>14</v>
      </c>
    </row>
    <row r="64" ht="15.75" customHeight="1">
      <c r="A64" s="47" t="s">
        <v>62</v>
      </c>
      <c r="B64" s="48" t="s">
        <v>167</v>
      </c>
      <c r="C64" s="22" t="s">
        <v>170</v>
      </c>
      <c r="D64" s="49" t="s">
        <v>171</v>
      </c>
      <c r="E64" s="48">
        <v>4.0</v>
      </c>
      <c r="F64" s="69" t="s">
        <v>98</v>
      </c>
    </row>
    <row r="65" ht="15.75" customHeight="1">
      <c r="A65" s="47" t="s">
        <v>62</v>
      </c>
      <c r="B65" s="48" t="s">
        <v>167</v>
      </c>
      <c r="C65" s="22" t="s">
        <v>172</v>
      </c>
      <c r="D65" s="49" t="s">
        <v>173</v>
      </c>
      <c r="E65" s="48">
        <v>5.0</v>
      </c>
      <c r="F65" s="69" t="s">
        <v>98</v>
      </c>
      <c r="G65" s="70" t="s">
        <v>35</v>
      </c>
      <c r="H65" s="8"/>
      <c r="I65" s="8"/>
      <c r="J65" s="9"/>
    </row>
    <row r="66" ht="15.75" customHeight="1">
      <c r="A66" s="56" t="s">
        <v>62</v>
      </c>
      <c r="B66" s="57" t="s">
        <v>167</v>
      </c>
      <c r="C66" s="22" t="s">
        <v>174</v>
      </c>
      <c r="D66" s="58" t="s">
        <v>175</v>
      </c>
      <c r="E66" s="57">
        <v>3.0</v>
      </c>
      <c r="F66" s="69" t="s">
        <v>98</v>
      </c>
      <c r="G66" s="71">
        <f>SUM(E32:E66)</f>
        <v>102</v>
      </c>
      <c r="H66" s="72" t="s">
        <v>17</v>
      </c>
      <c r="I66" s="73">
        <f>(G66 * 100)/B4</f>
        <v>25.88832487</v>
      </c>
      <c r="J66" s="74" t="s">
        <v>92</v>
      </c>
    </row>
    <row r="67" ht="15.75" customHeight="1">
      <c r="A67" s="52" t="s">
        <v>176</v>
      </c>
      <c r="B67" s="53" t="s">
        <v>177</v>
      </c>
      <c r="C67" s="13" t="s">
        <v>178</v>
      </c>
      <c r="D67" s="54" t="s">
        <v>179</v>
      </c>
      <c r="E67" s="53">
        <v>4.0</v>
      </c>
      <c r="F67" s="75" t="s">
        <v>14</v>
      </c>
    </row>
    <row r="68" ht="15.75" customHeight="1">
      <c r="A68" s="47" t="s">
        <v>176</v>
      </c>
      <c r="B68" s="48" t="s">
        <v>177</v>
      </c>
      <c r="C68" s="22" t="s">
        <v>180</v>
      </c>
      <c r="D68" s="49" t="s">
        <v>181</v>
      </c>
      <c r="E68" s="48">
        <v>3.0</v>
      </c>
      <c r="F68" s="75" t="s">
        <v>14</v>
      </c>
    </row>
    <row r="69" ht="15.75" customHeight="1">
      <c r="A69" s="56" t="s">
        <v>176</v>
      </c>
      <c r="B69" s="57" t="s">
        <v>177</v>
      </c>
      <c r="C69" s="29" t="s">
        <v>182</v>
      </c>
      <c r="D69" s="58" t="s">
        <v>71</v>
      </c>
      <c r="E69" s="57">
        <v>2.0</v>
      </c>
      <c r="F69" s="75" t="s">
        <v>14</v>
      </c>
    </row>
    <row r="70" ht="15.75" customHeight="1">
      <c r="A70" s="47" t="s">
        <v>176</v>
      </c>
      <c r="B70" s="48" t="s">
        <v>183</v>
      </c>
      <c r="C70" s="22" t="s">
        <v>184</v>
      </c>
      <c r="D70" s="49" t="s">
        <v>185</v>
      </c>
      <c r="E70" s="48">
        <v>4.0</v>
      </c>
      <c r="F70" s="75" t="s">
        <v>26</v>
      </c>
    </row>
    <row r="71" ht="15.75" customHeight="1">
      <c r="A71" s="47" t="s">
        <v>176</v>
      </c>
      <c r="B71" s="48" t="s">
        <v>183</v>
      </c>
      <c r="C71" s="22" t="s">
        <v>186</v>
      </c>
      <c r="D71" s="49" t="s">
        <v>187</v>
      </c>
      <c r="E71" s="48">
        <v>3.0</v>
      </c>
      <c r="F71" s="75" t="s">
        <v>26</v>
      </c>
    </row>
    <row r="72" ht="15.75" customHeight="1">
      <c r="A72" s="47" t="s">
        <v>176</v>
      </c>
      <c r="B72" s="48" t="s">
        <v>183</v>
      </c>
      <c r="C72" s="22" t="s">
        <v>188</v>
      </c>
      <c r="D72" s="49" t="s">
        <v>189</v>
      </c>
      <c r="E72" s="48">
        <v>2.0</v>
      </c>
      <c r="F72" s="76" t="s">
        <v>98</v>
      </c>
    </row>
    <row r="73" ht="15.75" customHeight="1">
      <c r="A73" s="52" t="s">
        <v>176</v>
      </c>
      <c r="B73" s="53" t="s">
        <v>190</v>
      </c>
      <c r="C73" s="13" t="s">
        <v>191</v>
      </c>
      <c r="D73" s="54" t="s">
        <v>192</v>
      </c>
      <c r="E73" s="53">
        <v>3.0</v>
      </c>
      <c r="F73" s="76" t="s">
        <v>98</v>
      </c>
    </row>
    <row r="74" ht="15.75" customHeight="1">
      <c r="A74" s="47" t="s">
        <v>176</v>
      </c>
      <c r="B74" s="48" t="s">
        <v>190</v>
      </c>
      <c r="C74" s="22" t="s">
        <v>193</v>
      </c>
      <c r="D74" s="49" t="s">
        <v>194</v>
      </c>
      <c r="E74" s="48">
        <v>3.0</v>
      </c>
      <c r="F74" s="76" t="s">
        <v>98</v>
      </c>
    </row>
    <row r="75" ht="15.75" customHeight="1">
      <c r="A75" s="56" t="s">
        <v>176</v>
      </c>
      <c r="B75" s="57" t="s">
        <v>190</v>
      </c>
      <c r="C75" s="29" t="s">
        <v>195</v>
      </c>
      <c r="D75" s="58" t="s">
        <v>196</v>
      </c>
      <c r="E75" s="57">
        <v>3.0</v>
      </c>
      <c r="F75" s="76" t="s">
        <v>98</v>
      </c>
    </row>
    <row r="76" ht="15.75" customHeight="1">
      <c r="A76" s="47" t="s">
        <v>176</v>
      </c>
      <c r="B76" s="48" t="s">
        <v>197</v>
      </c>
      <c r="C76" s="22" t="s">
        <v>198</v>
      </c>
      <c r="D76" s="49" t="s">
        <v>199</v>
      </c>
      <c r="E76" s="48">
        <v>3.0</v>
      </c>
      <c r="F76" s="75" t="s">
        <v>14</v>
      </c>
    </row>
    <row r="77" ht="15.75" customHeight="1">
      <c r="A77" s="47" t="s">
        <v>176</v>
      </c>
      <c r="B77" s="48" t="s">
        <v>197</v>
      </c>
      <c r="C77" s="22" t="s">
        <v>200</v>
      </c>
      <c r="D77" s="49" t="s">
        <v>201</v>
      </c>
      <c r="E77" s="48">
        <v>2.0</v>
      </c>
      <c r="F77" s="75" t="s">
        <v>14</v>
      </c>
    </row>
    <row r="78" ht="15.75" customHeight="1">
      <c r="A78" s="52" t="s">
        <v>176</v>
      </c>
      <c r="B78" s="53" t="s">
        <v>202</v>
      </c>
      <c r="C78" s="13" t="s">
        <v>203</v>
      </c>
      <c r="D78" s="54" t="s">
        <v>204</v>
      </c>
      <c r="E78" s="53">
        <v>6.0</v>
      </c>
      <c r="F78" s="75" t="s">
        <v>14</v>
      </c>
    </row>
    <row r="79" ht="15.75" customHeight="1">
      <c r="A79" s="47" t="s">
        <v>176</v>
      </c>
      <c r="B79" s="48" t="s">
        <v>202</v>
      </c>
      <c r="C79" s="22" t="s">
        <v>205</v>
      </c>
      <c r="D79" s="49" t="s">
        <v>206</v>
      </c>
      <c r="E79" s="48">
        <v>5.0</v>
      </c>
      <c r="F79" s="76" t="s">
        <v>98</v>
      </c>
    </row>
    <row r="80" ht="15.75" customHeight="1">
      <c r="A80" s="56" t="s">
        <v>176</v>
      </c>
      <c r="B80" s="57" t="s">
        <v>202</v>
      </c>
      <c r="C80" s="29" t="s">
        <v>207</v>
      </c>
      <c r="D80" s="58" t="s">
        <v>208</v>
      </c>
      <c r="E80" s="57">
        <v>3.0</v>
      </c>
      <c r="F80" s="75" t="s">
        <v>14</v>
      </c>
    </row>
    <row r="81" ht="15.75" customHeight="1">
      <c r="A81" s="77" t="s">
        <v>176</v>
      </c>
      <c r="B81" s="78" t="s">
        <v>209</v>
      </c>
      <c r="C81" s="22" t="s">
        <v>210</v>
      </c>
      <c r="D81" s="79" t="s">
        <v>211</v>
      </c>
      <c r="E81" s="78">
        <v>4.0</v>
      </c>
      <c r="F81" s="75" t="s">
        <v>14</v>
      </c>
    </row>
    <row r="82" ht="15.75" customHeight="1">
      <c r="A82" s="52" t="s">
        <v>176</v>
      </c>
      <c r="B82" s="53" t="s">
        <v>209</v>
      </c>
      <c r="C82" s="13" t="s">
        <v>212</v>
      </c>
      <c r="D82" s="54" t="s">
        <v>213</v>
      </c>
      <c r="E82" s="53">
        <v>4.0</v>
      </c>
      <c r="F82" s="75" t="s">
        <v>14</v>
      </c>
    </row>
    <row r="83" ht="15.75" customHeight="1">
      <c r="A83" s="56" t="s">
        <v>176</v>
      </c>
      <c r="B83" s="57" t="s">
        <v>209</v>
      </c>
      <c r="C83" s="29" t="s">
        <v>214</v>
      </c>
      <c r="D83" s="58" t="s">
        <v>215</v>
      </c>
      <c r="E83" s="57">
        <v>2.0</v>
      </c>
      <c r="F83" s="75" t="s">
        <v>26</v>
      </c>
    </row>
    <row r="84" ht="15.75" customHeight="1">
      <c r="A84" s="52" t="s">
        <v>176</v>
      </c>
      <c r="B84" s="53" t="s">
        <v>216</v>
      </c>
      <c r="C84" s="22" t="s">
        <v>217</v>
      </c>
      <c r="D84" s="54" t="s">
        <v>218</v>
      </c>
      <c r="E84" s="53">
        <v>4.0</v>
      </c>
      <c r="F84" s="75" t="s">
        <v>26</v>
      </c>
    </row>
    <row r="85" ht="15.75" customHeight="1">
      <c r="A85" s="47" t="s">
        <v>176</v>
      </c>
      <c r="B85" s="48" t="s">
        <v>216</v>
      </c>
      <c r="C85" s="22" t="s">
        <v>219</v>
      </c>
      <c r="D85" s="49" t="s">
        <v>220</v>
      </c>
      <c r="E85" s="48">
        <v>3.0</v>
      </c>
      <c r="F85" s="75" t="s">
        <v>14</v>
      </c>
    </row>
    <row r="86" ht="15.75" customHeight="1">
      <c r="A86" s="56" t="s">
        <v>176</v>
      </c>
      <c r="B86" s="57" t="s">
        <v>216</v>
      </c>
      <c r="C86" s="22" t="s">
        <v>221</v>
      </c>
      <c r="D86" s="58" t="s">
        <v>222</v>
      </c>
      <c r="E86" s="57">
        <v>2.0</v>
      </c>
      <c r="F86" s="75" t="s">
        <v>14</v>
      </c>
    </row>
    <row r="87" ht="15.75" customHeight="1">
      <c r="A87" s="52" t="s">
        <v>176</v>
      </c>
      <c r="B87" s="53" t="s">
        <v>223</v>
      </c>
      <c r="C87" s="13" t="s">
        <v>224</v>
      </c>
      <c r="D87" s="54" t="s">
        <v>225</v>
      </c>
      <c r="E87" s="53">
        <v>4.0</v>
      </c>
      <c r="F87" s="75" t="s">
        <v>14</v>
      </c>
    </row>
    <row r="88" ht="15.75" customHeight="1">
      <c r="A88" s="47" t="s">
        <v>176</v>
      </c>
      <c r="B88" s="48" t="s">
        <v>223</v>
      </c>
      <c r="C88" s="22" t="s">
        <v>226</v>
      </c>
      <c r="D88" s="49" t="s">
        <v>227</v>
      </c>
      <c r="E88" s="48">
        <v>4.0</v>
      </c>
      <c r="F88" s="76" t="s">
        <v>98</v>
      </c>
    </row>
    <row r="89" ht="15.75" customHeight="1">
      <c r="A89" s="56" t="s">
        <v>176</v>
      </c>
      <c r="B89" s="57" t="s">
        <v>223</v>
      </c>
      <c r="C89" s="29" t="s">
        <v>228</v>
      </c>
      <c r="D89" s="58" t="s">
        <v>229</v>
      </c>
      <c r="E89" s="57">
        <v>4.0</v>
      </c>
      <c r="F89" s="76" t="s">
        <v>98</v>
      </c>
    </row>
    <row r="90" ht="15.75" customHeight="1">
      <c r="A90" s="52" t="s">
        <v>176</v>
      </c>
      <c r="B90" s="53" t="s">
        <v>230</v>
      </c>
      <c r="C90" s="22" t="s">
        <v>231</v>
      </c>
      <c r="D90" s="54" t="s">
        <v>232</v>
      </c>
      <c r="E90" s="53">
        <v>3.0</v>
      </c>
      <c r="F90" s="75" t="s">
        <v>26</v>
      </c>
    </row>
    <row r="91" ht="15.75" customHeight="1">
      <c r="A91" s="47" t="s">
        <v>176</v>
      </c>
      <c r="B91" s="48" t="s">
        <v>230</v>
      </c>
      <c r="C91" s="22" t="s">
        <v>233</v>
      </c>
      <c r="D91" s="49" t="s">
        <v>234</v>
      </c>
      <c r="E91" s="48">
        <v>3.0</v>
      </c>
      <c r="F91" s="75" t="s">
        <v>14</v>
      </c>
      <c r="G91" s="80" t="s">
        <v>48</v>
      </c>
      <c r="H91" s="8"/>
      <c r="I91" s="8"/>
      <c r="J91" s="9"/>
    </row>
    <row r="92" ht="15.75" customHeight="1">
      <c r="A92" s="56" t="s">
        <v>176</v>
      </c>
      <c r="B92" s="57" t="s">
        <v>230</v>
      </c>
      <c r="C92" s="22" t="s">
        <v>235</v>
      </c>
      <c r="D92" s="58" t="s">
        <v>236</v>
      </c>
      <c r="E92" s="57">
        <v>2.0</v>
      </c>
      <c r="F92" s="75" t="s">
        <v>14</v>
      </c>
      <c r="G92" s="81">
        <f>SUM(E67:E92)</f>
        <v>85</v>
      </c>
      <c r="H92" s="82" t="s">
        <v>17</v>
      </c>
      <c r="I92" s="83">
        <f>(G92 * 100)/B4</f>
        <v>21.57360406</v>
      </c>
      <c r="J92" s="82" t="s">
        <v>92</v>
      </c>
    </row>
    <row r="93" ht="15.75" customHeight="1">
      <c r="A93" s="52" t="s">
        <v>237</v>
      </c>
      <c r="B93" s="53" t="s">
        <v>238</v>
      </c>
      <c r="C93" s="13" t="s">
        <v>239</v>
      </c>
      <c r="D93" s="54" t="s">
        <v>240</v>
      </c>
      <c r="E93" s="53">
        <v>4.0</v>
      </c>
      <c r="F93" s="84" t="s">
        <v>26</v>
      </c>
    </row>
    <row r="94" ht="15.75" customHeight="1">
      <c r="A94" s="47" t="s">
        <v>237</v>
      </c>
      <c r="B94" s="48" t="s">
        <v>238</v>
      </c>
      <c r="C94" s="22" t="s">
        <v>241</v>
      </c>
      <c r="D94" s="49" t="s">
        <v>242</v>
      </c>
      <c r="E94" s="48">
        <v>4.0</v>
      </c>
      <c r="F94" s="85" t="s">
        <v>26</v>
      </c>
    </row>
    <row r="95" ht="15.75" customHeight="1">
      <c r="A95" s="56" t="s">
        <v>237</v>
      </c>
      <c r="B95" s="57" t="s">
        <v>238</v>
      </c>
      <c r="C95" s="29" t="s">
        <v>243</v>
      </c>
      <c r="D95" s="58" t="s">
        <v>244</v>
      </c>
      <c r="E95" s="57">
        <v>3.0</v>
      </c>
      <c r="F95" s="84" t="s">
        <v>14</v>
      </c>
    </row>
    <row r="96" ht="15.75" customHeight="1">
      <c r="A96" s="52" t="s">
        <v>237</v>
      </c>
      <c r="B96" s="53" t="s">
        <v>245</v>
      </c>
      <c r="C96" s="22" t="s">
        <v>246</v>
      </c>
      <c r="D96" s="54" t="s">
        <v>247</v>
      </c>
      <c r="E96" s="53">
        <v>3.0</v>
      </c>
      <c r="F96" s="85" t="s">
        <v>26</v>
      </c>
    </row>
    <row r="97" ht="15.75" customHeight="1">
      <c r="A97" s="56" t="s">
        <v>237</v>
      </c>
      <c r="B97" s="57" t="s">
        <v>245</v>
      </c>
      <c r="C97" s="22" t="s">
        <v>248</v>
      </c>
      <c r="D97" s="58" t="s">
        <v>249</v>
      </c>
      <c r="E97" s="57">
        <v>3.0</v>
      </c>
      <c r="F97" s="85" t="s">
        <v>26</v>
      </c>
    </row>
    <row r="98" ht="15.75" customHeight="1">
      <c r="A98" s="52" t="s">
        <v>237</v>
      </c>
      <c r="B98" s="53" t="s">
        <v>250</v>
      </c>
      <c r="C98" s="13" t="s">
        <v>251</v>
      </c>
      <c r="D98" s="54" t="s">
        <v>252</v>
      </c>
      <c r="E98" s="53">
        <v>3.0</v>
      </c>
      <c r="F98" s="85" t="s">
        <v>26</v>
      </c>
    </row>
    <row r="99" ht="15.75" customHeight="1">
      <c r="A99" s="56" t="s">
        <v>237</v>
      </c>
      <c r="B99" s="57" t="s">
        <v>250</v>
      </c>
      <c r="C99" s="29" t="s">
        <v>253</v>
      </c>
      <c r="D99" s="58" t="s">
        <v>254</v>
      </c>
      <c r="E99" s="57">
        <v>2.0</v>
      </c>
      <c r="F99" s="85" t="s">
        <v>26</v>
      </c>
    </row>
    <row r="100" ht="15.75" customHeight="1">
      <c r="A100" s="52" t="s">
        <v>237</v>
      </c>
      <c r="B100" s="53" t="s">
        <v>255</v>
      </c>
      <c r="C100" s="22" t="s">
        <v>256</v>
      </c>
      <c r="D100" s="54" t="s">
        <v>257</v>
      </c>
      <c r="E100" s="53">
        <v>4.0</v>
      </c>
      <c r="F100" s="85" t="s">
        <v>26</v>
      </c>
    </row>
    <row r="101" ht="15.75" customHeight="1">
      <c r="A101" s="47" t="s">
        <v>237</v>
      </c>
      <c r="B101" s="48" t="s">
        <v>255</v>
      </c>
      <c r="C101" s="22" t="s">
        <v>258</v>
      </c>
      <c r="D101" s="49" t="s">
        <v>259</v>
      </c>
      <c r="E101" s="48">
        <v>4.0</v>
      </c>
      <c r="F101" s="84" t="s">
        <v>14</v>
      </c>
    </row>
    <row r="102" ht="15.75" customHeight="1">
      <c r="A102" s="56" t="s">
        <v>237</v>
      </c>
      <c r="B102" s="57" t="s">
        <v>255</v>
      </c>
      <c r="C102" s="22" t="s">
        <v>260</v>
      </c>
      <c r="D102" s="58" t="s">
        <v>261</v>
      </c>
      <c r="E102" s="57">
        <v>2.0</v>
      </c>
      <c r="F102" s="84" t="s">
        <v>14</v>
      </c>
      <c r="G102" s="49" t="s">
        <v>262</v>
      </c>
    </row>
    <row r="103" ht="15.75" customHeight="1">
      <c r="A103" s="52" t="s">
        <v>237</v>
      </c>
      <c r="B103" s="53" t="s">
        <v>263</v>
      </c>
      <c r="C103" s="13" t="s">
        <v>264</v>
      </c>
      <c r="D103" s="54" t="s">
        <v>265</v>
      </c>
      <c r="E103" s="53">
        <v>4.0</v>
      </c>
      <c r="F103" s="84" t="s">
        <v>14</v>
      </c>
    </row>
    <row r="104" ht="15.75" customHeight="1">
      <c r="A104" s="56" t="s">
        <v>237</v>
      </c>
      <c r="B104" s="57" t="s">
        <v>263</v>
      </c>
      <c r="C104" s="29" t="s">
        <v>266</v>
      </c>
      <c r="D104" s="58" t="s">
        <v>267</v>
      </c>
      <c r="E104" s="57">
        <v>3.0</v>
      </c>
      <c r="F104" s="84" t="s">
        <v>14</v>
      </c>
    </row>
    <row r="105" ht="15.75" customHeight="1">
      <c r="A105" s="52" t="s">
        <v>237</v>
      </c>
      <c r="B105" s="53" t="s">
        <v>268</v>
      </c>
      <c r="C105" s="22" t="s">
        <v>269</v>
      </c>
      <c r="D105" s="54" t="s">
        <v>270</v>
      </c>
      <c r="E105" s="53">
        <v>5.0</v>
      </c>
      <c r="F105" s="85" t="s">
        <v>26</v>
      </c>
    </row>
    <row r="106" ht="15.75" customHeight="1">
      <c r="A106" s="47" t="s">
        <v>237</v>
      </c>
      <c r="B106" s="48" t="s">
        <v>268</v>
      </c>
      <c r="C106" s="22" t="s">
        <v>271</v>
      </c>
      <c r="D106" s="49" t="s">
        <v>272</v>
      </c>
      <c r="E106" s="48">
        <v>3.0</v>
      </c>
      <c r="F106" s="85" t="s">
        <v>26</v>
      </c>
    </row>
    <row r="107" ht="15.75" customHeight="1">
      <c r="A107" s="47" t="s">
        <v>237</v>
      </c>
      <c r="B107" s="48" t="s">
        <v>268</v>
      </c>
      <c r="C107" s="22" t="s">
        <v>273</v>
      </c>
      <c r="D107" s="49" t="s">
        <v>274</v>
      </c>
      <c r="E107" s="48">
        <v>2.0</v>
      </c>
      <c r="F107" s="84" t="s">
        <v>26</v>
      </c>
    </row>
    <row r="108" ht="15.75" customHeight="1">
      <c r="A108" s="56" t="s">
        <v>237</v>
      </c>
      <c r="B108" s="57" t="s">
        <v>268</v>
      </c>
      <c r="C108" s="22" t="s">
        <v>275</v>
      </c>
      <c r="D108" s="58" t="s">
        <v>276</v>
      </c>
      <c r="E108" s="57">
        <v>2.0</v>
      </c>
      <c r="F108" s="84" t="s">
        <v>14</v>
      </c>
    </row>
    <row r="109" ht="15.75" customHeight="1">
      <c r="A109" s="52" t="s">
        <v>237</v>
      </c>
      <c r="B109" s="53" t="s">
        <v>277</v>
      </c>
      <c r="C109" s="13" t="s">
        <v>278</v>
      </c>
      <c r="D109" s="54" t="s">
        <v>279</v>
      </c>
      <c r="E109" s="53">
        <v>4.0</v>
      </c>
      <c r="F109" s="85" t="s">
        <v>26</v>
      </c>
    </row>
    <row r="110" ht="15.75" customHeight="1">
      <c r="A110" s="56" t="s">
        <v>237</v>
      </c>
      <c r="B110" s="57" t="s">
        <v>277</v>
      </c>
      <c r="C110" s="29" t="s">
        <v>280</v>
      </c>
      <c r="D110" s="58" t="s">
        <v>281</v>
      </c>
      <c r="E110" s="57">
        <v>3.0</v>
      </c>
      <c r="F110" s="84" t="s">
        <v>98</v>
      </c>
    </row>
    <row r="111" ht="15.75" customHeight="1">
      <c r="A111" s="52" t="s">
        <v>237</v>
      </c>
      <c r="B111" s="53" t="s">
        <v>282</v>
      </c>
      <c r="C111" s="22" t="s">
        <v>283</v>
      </c>
      <c r="D111" s="54" t="s">
        <v>284</v>
      </c>
      <c r="E111" s="53">
        <v>3.0</v>
      </c>
      <c r="F111" s="84" t="s">
        <v>98</v>
      </c>
    </row>
    <row r="112" ht="15.75" customHeight="1">
      <c r="A112" s="56" t="s">
        <v>237</v>
      </c>
      <c r="B112" s="57" t="s">
        <v>282</v>
      </c>
      <c r="C112" s="22" t="s">
        <v>285</v>
      </c>
      <c r="D112" s="58" t="s">
        <v>286</v>
      </c>
      <c r="E112" s="57">
        <v>3.0</v>
      </c>
      <c r="F112" s="84" t="s">
        <v>98</v>
      </c>
    </row>
    <row r="113" ht="15.75" customHeight="1">
      <c r="A113" s="52" t="s">
        <v>287</v>
      </c>
      <c r="B113" s="53" t="s">
        <v>288</v>
      </c>
      <c r="C113" s="13" t="s">
        <v>289</v>
      </c>
      <c r="D113" s="54" t="s">
        <v>290</v>
      </c>
      <c r="E113" s="53">
        <v>3.0</v>
      </c>
      <c r="F113" s="84" t="s">
        <v>98</v>
      </c>
    </row>
    <row r="114" ht="15.75" customHeight="1">
      <c r="A114" s="86" t="s">
        <v>287</v>
      </c>
      <c r="B114" s="48" t="s">
        <v>288</v>
      </c>
      <c r="C114" s="22" t="s">
        <v>291</v>
      </c>
      <c r="D114" s="49" t="s">
        <v>292</v>
      </c>
      <c r="E114" s="48">
        <v>4.0</v>
      </c>
      <c r="F114" s="84" t="s">
        <v>98</v>
      </c>
    </row>
    <row r="115" ht="15.75" customHeight="1">
      <c r="A115" s="87" t="s">
        <v>287</v>
      </c>
      <c r="B115" s="57" t="s">
        <v>288</v>
      </c>
      <c r="C115" s="29" t="s">
        <v>293</v>
      </c>
      <c r="D115" s="58" t="s">
        <v>294</v>
      </c>
      <c r="E115" s="57">
        <v>3.0</v>
      </c>
      <c r="F115" s="84" t="s">
        <v>14</v>
      </c>
    </row>
    <row r="116" ht="15.75" customHeight="1">
      <c r="A116" s="60" t="s">
        <v>287</v>
      </c>
      <c r="B116" s="53" t="s">
        <v>295</v>
      </c>
      <c r="C116" s="22" t="s">
        <v>296</v>
      </c>
      <c r="D116" s="54" t="s">
        <v>297</v>
      </c>
      <c r="E116" s="53">
        <v>3.0</v>
      </c>
      <c r="F116" s="85" t="s">
        <v>98</v>
      </c>
    </row>
    <row r="117" ht="15.75" customHeight="1">
      <c r="A117" s="86" t="s">
        <v>287</v>
      </c>
      <c r="B117" s="48" t="s">
        <v>295</v>
      </c>
      <c r="C117" s="22" t="s">
        <v>298</v>
      </c>
      <c r="D117" s="49" t="s">
        <v>299</v>
      </c>
      <c r="E117" s="48">
        <v>3.0</v>
      </c>
      <c r="F117" s="85" t="s">
        <v>98</v>
      </c>
    </row>
    <row r="118" ht="15.75" customHeight="1">
      <c r="A118" s="87" t="s">
        <v>287</v>
      </c>
      <c r="B118" s="57" t="s">
        <v>295</v>
      </c>
      <c r="C118" s="22" t="s">
        <v>300</v>
      </c>
      <c r="D118" s="58" t="s">
        <v>301</v>
      </c>
      <c r="E118" s="57">
        <v>3.0</v>
      </c>
      <c r="F118" s="84" t="s">
        <v>26</v>
      </c>
    </row>
    <row r="119" ht="15.75" customHeight="1">
      <c r="A119" s="60" t="s">
        <v>287</v>
      </c>
      <c r="B119" s="53" t="s">
        <v>302</v>
      </c>
      <c r="C119" s="13" t="s">
        <v>303</v>
      </c>
      <c r="D119" s="54" t="s">
        <v>304</v>
      </c>
      <c r="E119" s="53">
        <v>3.0</v>
      </c>
      <c r="F119" s="84" t="s">
        <v>98</v>
      </c>
    </row>
    <row r="120" ht="15.75" customHeight="1">
      <c r="A120" s="87" t="s">
        <v>287</v>
      </c>
      <c r="B120" s="57" t="s">
        <v>302</v>
      </c>
      <c r="C120" s="29" t="s">
        <v>305</v>
      </c>
      <c r="D120" s="58" t="s">
        <v>306</v>
      </c>
      <c r="E120" s="57">
        <v>2.0</v>
      </c>
      <c r="F120" s="84" t="s">
        <v>14</v>
      </c>
    </row>
    <row r="121" ht="15.75" customHeight="1">
      <c r="A121" s="77" t="s">
        <v>287</v>
      </c>
      <c r="B121" s="78" t="s">
        <v>307</v>
      </c>
      <c r="C121" s="22" t="s">
        <v>308</v>
      </c>
      <c r="D121" s="79" t="s">
        <v>309</v>
      </c>
      <c r="E121" s="78">
        <v>3.0</v>
      </c>
      <c r="F121" s="84" t="s">
        <v>14</v>
      </c>
    </row>
    <row r="122" ht="15.75" customHeight="1">
      <c r="A122" s="77" t="s">
        <v>287</v>
      </c>
      <c r="B122" s="78" t="s">
        <v>310</v>
      </c>
      <c r="C122" s="88" t="s">
        <v>311</v>
      </c>
      <c r="D122" s="79" t="s">
        <v>312</v>
      </c>
      <c r="E122" s="78">
        <v>3.0</v>
      </c>
      <c r="F122" s="84" t="s">
        <v>98</v>
      </c>
      <c r="G122" s="89" t="s">
        <v>59</v>
      </c>
      <c r="H122" s="8"/>
      <c r="I122" s="8"/>
      <c r="J122" s="9"/>
    </row>
    <row r="123" ht="15.75" customHeight="1">
      <c r="A123" s="77" t="s">
        <v>287</v>
      </c>
      <c r="B123" s="78" t="s">
        <v>313</v>
      </c>
      <c r="C123" s="29" t="s">
        <v>314</v>
      </c>
      <c r="D123" s="79" t="s">
        <v>315</v>
      </c>
      <c r="E123" s="78">
        <v>3.0</v>
      </c>
      <c r="F123" s="90" t="s">
        <v>98</v>
      </c>
      <c r="G123" s="91">
        <f>SUM(E93:E128)</f>
        <v>97</v>
      </c>
      <c r="H123" s="92" t="s">
        <v>17</v>
      </c>
      <c r="I123" s="93">
        <f>(G123 * 100)/B4</f>
        <v>24.61928934</v>
      </c>
      <c r="J123" s="92" t="s">
        <v>92</v>
      </c>
    </row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>
      <c r="A231" s="94"/>
      <c r="B231" s="94"/>
      <c r="C231" s="94"/>
      <c r="D231" s="94"/>
      <c r="E231" s="94"/>
      <c r="F231" s="94"/>
      <c r="G231" s="94"/>
      <c r="H231" s="94"/>
      <c r="I231" s="94"/>
      <c r="J231" s="94"/>
    </row>
    <row r="232" ht="15.75" customHeight="1">
      <c r="A232" s="94"/>
      <c r="B232" s="94"/>
      <c r="C232" s="94"/>
      <c r="D232" s="94"/>
      <c r="E232" s="94"/>
      <c r="F232" s="94"/>
      <c r="G232" s="94"/>
      <c r="H232" s="94"/>
      <c r="I232" s="94"/>
      <c r="J232" s="94"/>
    </row>
    <row r="233" ht="15.75" customHeight="1">
      <c r="A233" s="94"/>
      <c r="B233" s="94"/>
      <c r="C233" s="94"/>
      <c r="D233" s="94"/>
      <c r="E233" s="94"/>
      <c r="F233" s="94"/>
      <c r="G233" s="94"/>
      <c r="H233" s="94"/>
      <c r="I233" s="94"/>
      <c r="J233" s="94"/>
    </row>
    <row r="234" ht="15.75" customHeight="1">
      <c r="A234" s="94"/>
      <c r="B234" s="94"/>
      <c r="C234" s="94"/>
      <c r="D234" s="94"/>
      <c r="E234" s="94"/>
      <c r="F234" s="94"/>
      <c r="G234" s="94"/>
      <c r="H234" s="94"/>
      <c r="I234" s="94"/>
      <c r="J234" s="94"/>
    </row>
    <row r="235" ht="15.75" customHeight="1">
      <c r="A235" s="94"/>
      <c r="B235" s="94"/>
      <c r="C235" s="94"/>
      <c r="D235" s="94"/>
      <c r="E235" s="94"/>
      <c r="F235" s="94"/>
      <c r="G235" s="94"/>
      <c r="H235" s="94"/>
      <c r="I235" s="94"/>
      <c r="J235" s="94"/>
    </row>
    <row r="236" ht="15.75" customHeight="1">
      <c r="A236" s="94"/>
      <c r="B236" s="94"/>
      <c r="C236" s="94"/>
      <c r="D236" s="94"/>
      <c r="E236" s="94"/>
      <c r="F236" s="94"/>
      <c r="G236" s="94"/>
      <c r="H236" s="94"/>
      <c r="I236" s="94"/>
      <c r="J236" s="94"/>
    </row>
    <row r="237" ht="15.75" customHeight="1">
      <c r="A237" s="94"/>
      <c r="B237" s="94"/>
      <c r="C237" s="94"/>
      <c r="D237" s="94"/>
      <c r="E237" s="94"/>
      <c r="F237" s="94"/>
      <c r="G237" s="94"/>
      <c r="H237" s="94"/>
      <c r="I237" s="94"/>
      <c r="J237" s="94"/>
    </row>
    <row r="238" ht="15.75" customHeight="1">
      <c r="A238" s="94"/>
      <c r="B238" s="94"/>
      <c r="C238" s="94"/>
      <c r="D238" s="94"/>
      <c r="E238" s="94"/>
      <c r="F238" s="94"/>
      <c r="G238" s="94"/>
      <c r="H238" s="94"/>
      <c r="I238" s="94"/>
      <c r="J238" s="94"/>
    </row>
    <row r="239" ht="15.75" customHeight="1">
      <c r="A239" s="94"/>
      <c r="B239" s="94"/>
      <c r="C239" s="94"/>
      <c r="D239" s="94"/>
      <c r="E239" s="94"/>
      <c r="F239" s="94"/>
      <c r="G239" s="94"/>
      <c r="H239" s="94"/>
      <c r="I239" s="94"/>
      <c r="J239" s="94"/>
    </row>
    <row r="240" ht="15.75" customHeight="1">
      <c r="A240" s="94"/>
      <c r="B240" s="94"/>
      <c r="C240" s="94"/>
      <c r="D240" s="94"/>
      <c r="E240" s="94"/>
      <c r="F240" s="94"/>
      <c r="G240" s="94"/>
      <c r="H240" s="94"/>
      <c r="I240" s="94"/>
      <c r="J240" s="94"/>
    </row>
    <row r="241" ht="15.75" customHeight="1">
      <c r="A241" s="94"/>
      <c r="B241" s="94"/>
      <c r="C241" s="94"/>
      <c r="D241" s="94"/>
      <c r="E241" s="94"/>
      <c r="F241" s="94"/>
      <c r="G241" s="94"/>
      <c r="H241" s="94"/>
      <c r="I241" s="94"/>
      <c r="J241" s="94"/>
    </row>
    <row r="242" ht="15.75" customHeight="1">
      <c r="A242" s="94"/>
      <c r="B242" s="94"/>
      <c r="C242" s="94"/>
      <c r="D242" s="94"/>
      <c r="E242" s="94"/>
      <c r="F242" s="94"/>
      <c r="G242" s="94"/>
      <c r="H242" s="94"/>
      <c r="I242" s="94"/>
      <c r="J242" s="94"/>
    </row>
    <row r="243" ht="15.75" customHeight="1">
      <c r="A243" s="94"/>
      <c r="B243" s="94"/>
      <c r="C243" s="94"/>
      <c r="D243" s="94"/>
      <c r="E243" s="94"/>
      <c r="F243" s="94"/>
      <c r="G243" s="94"/>
      <c r="H243" s="94"/>
      <c r="I243" s="94"/>
      <c r="J243" s="94"/>
    </row>
    <row r="244" ht="15.75" customHeight="1">
      <c r="A244" s="94"/>
      <c r="B244" s="94"/>
      <c r="C244" s="94"/>
      <c r="D244" s="94"/>
      <c r="E244" s="94"/>
      <c r="F244" s="94"/>
      <c r="G244" s="94"/>
      <c r="H244" s="94"/>
      <c r="I244" s="94"/>
      <c r="J244" s="94"/>
    </row>
    <row r="245" ht="15.75" customHeight="1">
      <c r="A245" s="94"/>
      <c r="B245" s="94"/>
      <c r="C245" s="94"/>
      <c r="D245" s="94"/>
      <c r="E245" s="94"/>
      <c r="F245" s="94"/>
      <c r="G245" s="94"/>
      <c r="H245" s="94"/>
      <c r="I245" s="94"/>
      <c r="J245" s="94"/>
    </row>
    <row r="246" ht="15.75" customHeight="1">
      <c r="A246" s="94"/>
      <c r="B246" s="94"/>
      <c r="C246" s="94"/>
      <c r="D246" s="94"/>
      <c r="E246" s="94"/>
      <c r="F246" s="94"/>
      <c r="G246" s="94"/>
      <c r="H246" s="94"/>
      <c r="I246" s="94"/>
      <c r="J246" s="94"/>
    </row>
    <row r="247" ht="15.75" customHeight="1">
      <c r="A247" s="94"/>
      <c r="B247" s="94"/>
      <c r="C247" s="94"/>
      <c r="D247" s="94"/>
      <c r="E247" s="94"/>
      <c r="F247" s="94"/>
      <c r="G247" s="94"/>
      <c r="H247" s="94"/>
      <c r="I247" s="94"/>
      <c r="J247" s="94"/>
    </row>
    <row r="248" ht="15.75" customHeight="1">
      <c r="A248" s="94"/>
      <c r="B248" s="94"/>
      <c r="C248" s="94"/>
      <c r="D248" s="94"/>
      <c r="E248" s="94"/>
      <c r="F248" s="94"/>
      <c r="G248" s="94"/>
      <c r="H248" s="94"/>
      <c r="I248" s="94"/>
      <c r="J248" s="94"/>
    </row>
    <row r="249" ht="15.75" customHeight="1">
      <c r="A249" s="94"/>
      <c r="B249" s="94"/>
      <c r="C249" s="94"/>
      <c r="D249" s="94"/>
      <c r="E249" s="94"/>
      <c r="F249" s="94"/>
      <c r="G249" s="94"/>
      <c r="H249" s="94"/>
      <c r="I249" s="94"/>
      <c r="J249" s="94"/>
    </row>
    <row r="250" ht="15.75" customHeight="1">
      <c r="A250" s="94"/>
      <c r="B250" s="94"/>
      <c r="C250" s="94"/>
      <c r="D250" s="94"/>
      <c r="E250" s="94"/>
      <c r="F250" s="94"/>
      <c r="G250" s="94"/>
      <c r="H250" s="94"/>
      <c r="I250" s="94"/>
      <c r="J250" s="94"/>
    </row>
    <row r="251" ht="15.75" customHeight="1">
      <c r="A251" s="94"/>
      <c r="B251" s="94"/>
      <c r="C251" s="94"/>
      <c r="D251" s="94"/>
      <c r="E251" s="94"/>
      <c r="F251" s="94"/>
      <c r="G251" s="94"/>
      <c r="H251" s="94"/>
      <c r="I251" s="94"/>
      <c r="J251" s="94"/>
    </row>
    <row r="252" ht="15.75" customHeight="1">
      <c r="A252" s="94"/>
      <c r="B252" s="94"/>
      <c r="C252" s="94"/>
      <c r="D252" s="94"/>
      <c r="E252" s="94"/>
      <c r="F252" s="94"/>
      <c r="G252" s="94"/>
      <c r="H252" s="94"/>
      <c r="I252" s="94"/>
      <c r="J252" s="94"/>
    </row>
    <row r="253" ht="15.75" customHeight="1">
      <c r="A253" s="94"/>
      <c r="B253" s="94"/>
      <c r="C253" s="94"/>
      <c r="D253" s="94"/>
      <c r="E253" s="94"/>
      <c r="F253" s="94"/>
      <c r="G253" s="94"/>
      <c r="H253" s="94"/>
      <c r="I253" s="94"/>
      <c r="J253" s="94"/>
    </row>
    <row r="254" ht="15.75" customHeight="1">
      <c r="A254" s="94"/>
      <c r="B254" s="94"/>
      <c r="C254" s="94"/>
      <c r="D254" s="94"/>
      <c r="E254" s="94"/>
      <c r="F254" s="94"/>
      <c r="G254" s="94"/>
      <c r="H254" s="94"/>
      <c r="I254" s="94"/>
      <c r="J254" s="94"/>
    </row>
    <row r="255" ht="15.75" customHeight="1">
      <c r="A255" s="94"/>
      <c r="B255" s="94"/>
      <c r="C255" s="94"/>
      <c r="D255" s="94"/>
      <c r="E255" s="94"/>
      <c r="F255" s="94"/>
      <c r="G255" s="94"/>
      <c r="H255" s="94"/>
      <c r="I255" s="94"/>
      <c r="J255" s="94"/>
    </row>
    <row r="256" ht="15.75" customHeight="1">
      <c r="A256" s="94"/>
      <c r="B256" s="94"/>
      <c r="C256" s="94"/>
      <c r="D256" s="94"/>
      <c r="E256" s="94"/>
      <c r="F256" s="94"/>
      <c r="G256" s="94"/>
      <c r="H256" s="94"/>
      <c r="I256" s="94"/>
      <c r="J256" s="94"/>
    </row>
    <row r="257" ht="15.75" customHeight="1">
      <c r="A257" s="94"/>
      <c r="B257" s="94"/>
      <c r="C257" s="94"/>
      <c r="D257" s="94"/>
      <c r="E257" s="94"/>
      <c r="F257" s="94"/>
      <c r="G257" s="94"/>
      <c r="H257" s="94"/>
      <c r="I257" s="94"/>
      <c r="J257" s="94"/>
    </row>
    <row r="258" ht="15.75" customHeight="1">
      <c r="A258" s="94"/>
      <c r="B258" s="94"/>
      <c r="C258" s="94"/>
      <c r="D258" s="94"/>
      <c r="E258" s="94"/>
      <c r="F258" s="94"/>
      <c r="G258" s="94"/>
      <c r="H258" s="94"/>
      <c r="I258" s="94"/>
      <c r="J258" s="94"/>
    </row>
    <row r="259" ht="15.75" customHeight="1">
      <c r="A259" s="94"/>
      <c r="B259" s="94"/>
      <c r="C259" s="94"/>
      <c r="D259" s="94"/>
      <c r="E259" s="94"/>
      <c r="F259" s="94"/>
      <c r="G259" s="94"/>
      <c r="H259" s="94"/>
      <c r="I259" s="94"/>
      <c r="J259" s="94"/>
    </row>
    <row r="260" ht="15.75" customHeight="1">
      <c r="A260" s="94"/>
      <c r="B260" s="94"/>
      <c r="C260" s="94"/>
      <c r="D260" s="94"/>
      <c r="E260" s="94"/>
      <c r="F260" s="94"/>
      <c r="G260" s="94"/>
      <c r="H260" s="94"/>
      <c r="I260" s="94"/>
      <c r="J260" s="94"/>
    </row>
    <row r="261" ht="15.75" customHeight="1">
      <c r="A261" s="94"/>
      <c r="B261" s="94"/>
      <c r="C261" s="94"/>
      <c r="D261" s="94"/>
      <c r="E261" s="94"/>
      <c r="F261" s="94"/>
      <c r="G261" s="94"/>
      <c r="H261" s="94"/>
      <c r="I261" s="94"/>
      <c r="J261" s="94"/>
    </row>
    <row r="262" ht="15.75" customHeight="1">
      <c r="A262" s="94"/>
      <c r="B262" s="94"/>
      <c r="C262" s="94"/>
      <c r="D262" s="94"/>
      <c r="E262" s="94"/>
      <c r="F262" s="94"/>
      <c r="G262" s="94"/>
      <c r="H262" s="94"/>
      <c r="I262" s="94"/>
      <c r="J262" s="94"/>
    </row>
    <row r="263" ht="15.75" customHeight="1">
      <c r="A263" s="94"/>
      <c r="B263" s="94"/>
      <c r="C263" s="94"/>
      <c r="D263" s="94"/>
      <c r="E263" s="94"/>
      <c r="F263" s="94"/>
      <c r="G263" s="94"/>
      <c r="H263" s="94"/>
      <c r="I263" s="94"/>
      <c r="J263" s="94"/>
    </row>
    <row r="264" ht="15.75" customHeight="1">
      <c r="A264" s="94"/>
      <c r="B264" s="94"/>
      <c r="C264" s="94"/>
      <c r="D264" s="94"/>
      <c r="E264" s="94"/>
      <c r="F264" s="94"/>
      <c r="G264" s="94"/>
      <c r="H264" s="94"/>
      <c r="I264" s="94"/>
      <c r="J264" s="94"/>
    </row>
    <row r="265" ht="15.75" customHeight="1">
      <c r="A265" s="94"/>
      <c r="B265" s="94"/>
      <c r="C265" s="94"/>
      <c r="D265" s="94"/>
      <c r="E265" s="94"/>
      <c r="F265" s="94"/>
      <c r="G265" s="94"/>
      <c r="H265" s="94"/>
      <c r="I265" s="94"/>
      <c r="J265" s="94"/>
    </row>
    <row r="266" ht="15.75" customHeight="1">
      <c r="A266" s="94"/>
      <c r="B266" s="94"/>
      <c r="C266" s="94"/>
      <c r="D266" s="94"/>
      <c r="E266" s="94"/>
      <c r="F266" s="94"/>
      <c r="G266" s="94"/>
      <c r="H266" s="94"/>
      <c r="I266" s="94"/>
      <c r="J266" s="94"/>
    </row>
    <row r="267" ht="15.75" customHeight="1">
      <c r="A267" s="94"/>
      <c r="B267" s="94"/>
      <c r="C267" s="94"/>
      <c r="D267" s="94"/>
      <c r="E267" s="94"/>
      <c r="F267" s="94"/>
      <c r="G267" s="94"/>
      <c r="H267" s="94"/>
      <c r="I267" s="94"/>
      <c r="J267" s="94"/>
    </row>
    <row r="268" ht="15.75" customHeight="1">
      <c r="A268" s="94"/>
      <c r="B268" s="94"/>
      <c r="C268" s="94"/>
      <c r="D268" s="94"/>
      <c r="E268" s="94"/>
      <c r="F268" s="94"/>
      <c r="G268" s="94"/>
      <c r="H268" s="94"/>
      <c r="I268" s="94"/>
      <c r="J268" s="94"/>
    </row>
    <row r="269" ht="15.75" customHeight="1">
      <c r="A269" s="94"/>
      <c r="B269" s="94"/>
      <c r="C269" s="94"/>
      <c r="D269" s="94"/>
      <c r="E269" s="94"/>
      <c r="F269" s="94"/>
      <c r="G269" s="94"/>
      <c r="H269" s="94"/>
      <c r="I269" s="94"/>
      <c r="J269" s="94"/>
    </row>
    <row r="270" ht="15.75" customHeight="1">
      <c r="A270" s="94"/>
      <c r="B270" s="94"/>
      <c r="C270" s="94"/>
      <c r="D270" s="94"/>
      <c r="E270" s="94"/>
      <c r="F270" s="94"/>
      <c r="G270" s="94"/>
      <c r="H270" s="94"/>
      <c r="I270" s="94"/>
      <c r="J270" s="94"/>
    </row>
    <row r="271" ht="15.75" customHeight="1">
      <c r="A271" s="94"/>
      <c r="B271" s="94"/>
      <c r="C271" s="94"/>
      <c r="D271" s="94"/>
      <c r="E271" s="94"/>
      <c r="F271" s="94"/>
      <c r="G271" s="94"/>
      <c r="H271" s="94"/>
      <c r="I271" s="94"/>
      <c r="J271" s="94"/>
    </row>
    <row r="272" ht="15.75" customHeight="1">
      <c r="A272" s="94"/>
      <c r="B272" s="94"/>
      <c r="C272" s="94"/>
      <c r="D272" s="94"/>
      <c r="E272" s="94"/>
      <c r="F272" s="94"/>
      <c r="G272" s="94"/>
      <c r="H272" s="94"/>
      <c r="I272" s="94"/>
      <c r="J272" s="94"/>
    </row>
    <row r="273" ht="15.75" customHeight="1">
      <c r="A273" s="94"/>
      <c r="B273" s="94"/>
      <c r="C273" s="94"/>
      <c r="D273" s="94"/>
      <c r="E273" s="94"/>
      <c r="F273" s="94"/>
      <c r="G273" s="94"/>
      <c r="H273" s="94"/>
      <c r="I273" s="94"/>
      <c r="J273" s="94"/>
    </row>
    <row r="274" ht="15.75" customHeight="1">
      <c r="A274" s="94"/>
      <c r="B274" s="94"/>
      <c r="C274" s="94"/>
      <c r="D274" s="94"/>
      <c r="E274" s="94"/>
      <c r="F274" s="94"/>
      <c r="G274" s="94"/>
      <c r="H274" s="94"/>
      <c r="I274" s="94"/>
      <c r="J274" s="94"/>
    </row>
    <row r="275" ht="15.75" customHeight="1">
      <c r="A275" s="94"/>
      <c r="B275" s="94"/>
      <c r="C275" s="94"/>
      <c r="D275" s="94"/>
      <c r="E275" s="94"/>
      <c r="F275" s="94"/>
      <c r="G275" s="94"/>
      <c r="H275" s="94"/>
      <c r="I275" s="94"/>
      <c r="J275" s="94"/>
    </row>
    <row r="276" ht="15.75" customHeight="1">
      <c r="A276" s="94"/>
      <c r="B276" s="94"/>
      <c r="C276" s="94"/>
      <c r="D276" s="94"/>
      <c r="E276" s="94"/>
      <c r="F276" s="94"/>
      <c r="G276" s="94"/>
      <c r="H276" s="94"/>
      <c r="I276" s="94"/>
      <c r="J276" s="94"/>
    </row>
    <row r="277" ht="15.75" customHeight="1">
      <c r="A277" s="94"/>
      <c r="B277" s="94"/>
      <c r="C277" s="94"/>
      <c r="D277" s="94"/>
      <c r="E277" s="94"/>
      <c r="F277" s="94"/>
      <c r="G277" s="94"/>
      <c r="H277" s="94"/>
      <c r="I277" s="94"/>
      <c r="J277" s="94"/>
    </row>
    <row r="278" ht="15.75" customHeight="1">
      <c r="A278" s="94"/>
      <c r="B278" s="94"/>
      <c r="C278" s="94"/>
      <c r="D278" s="94"/>
      <c r="E278" s="94"/>
      <c r="F278" s="94"/>
      <c r="G278" s="94"/>
      <c r="H278" s="94"/>
      <c r="I278" s="94"/>
      <c r="J278" s="94"/>
    </row>
    <row r="279" ht="15.75" customHeight="1">
      <c r="A279" s="94"/>
      <c r="B279" s="94"/>
      <c r="C279" s="94"/>
      <c r="D279" s="94"/>
      <c r="E279" s="94"/>
      <c r="F279" s="94"/>
      <c r="G279" s="94"/>
      <c r="H279" s="94"/>
      <c r="I279" s="94"/>
      <c r="J279" s="94"/>
    </row>
    <row r="280" ht="15.75" customHeight="1">
      <c r="A280" s="94"/>
      <c r="B280" s="94"/>
      <c r="C280" s="94"/>
      <c r="D280" s="94"/>
      <c r="E280" s="94"/>
      <c r="F280" s="94"/>
      <c r="G280" s="94"/>
      <c r="H280" s="94"/>
      <c r="I280" s="94"/>
      <c r="J280" s="94"/>
    </row>
    <row r="281" ht="15.75" customHeight="1">
      <c r="A281" s="94"/>
      <c r="B281" s="94"/>
      <c r="C281" s="94"/>
      <c r="D281" s="94"/>
      <c r="E281" s="94"/>
      <c r="F281" s="94"/>
      <c r="G281" s="94"/>
      <c r="H281" s="94"/>
      <c r="I281" s="94"/>
      <c r="J281" s="94"/>
    </row>
    <row r="282" ht="15.75" customHeight="1">
      <c r="A282" s="94"/>
      <c r="B282" s="94"/>
      <c r="C282" s="94"/>
      <c r="D282" s="94"/>
      <c r="E282" s="94"/>
      <c r="F282" s="94"/>
      <c r="G282" s="94"/>
      <c r="H282" s="94"/>
      <c r="I282" s="94"/>
      <c r="J282" s="94"/>
    </row>
    <row r="283" ht="15.75" customHeight="1">
      <c r="A283" s="94"/>
      <c r="B283" s="94"/>
      <c r="C283" s="94"/>
      <c r="D283" s="94"/>
      <c r="E283" s="94"/>
      <c r="F283" s="94"/>
      <c r="G283" s="94"/>
      <c r="H283" s="94"/>
      <c r="I283" s="94"/>
      <c r="J283" s="94"/>
    </row>
    <row r="284" ht="15.75" customHeight="1">
      <c r="A284" s="94"/>
      <c r="B284" s="94"/>
      <c r="C284" s="94"/>
      <c r="D284" s="94"/>
      <c r="E284" s="94"/>
      <c r="F284" s="94"/>
      <c r="G284" s="94"/>
      <c r="H284" s="94"/>
      <c r="I284" s="94"/>
      <c r="J284" s="94"/>
    </row>
    <row r="285" ht="15.75" customHeight="1">
      <c r="A285" s="94"/>
      <c r="B285" s="94"/>
      <c r="C285" s="94"/>
      <c r="D285" s="94"/>
      <c r="E285" s="94"/>
      <c r="F285" s="94"/>
      <c r="G285" s="94"/>
      <c r="H285" s="94"/>
      <c r="I285" s="94"/>
      <c r="J285" s="94"/>
    </row>
    <row r="286" ht="15.75" customHeight="1">
      <c r="A286" s="94"/>
      <c r="B286" s="94"/>
      <c r="C286" s="94"/>
      <c r="D286" s="94"/>
      <c r="E286" s="94"/>
      <c r="F286" s="94"/>
      <c r="G286" s="94"/>
      <c r="H286" s="94"/>
      <c r="I286" s="94"/>
      <c r="J286" s="94"/>
    </row>
    <row r="287" ht="15.75" customHeight="1">
      <c r="A287" s="94"/>
      <c r="B287" s="94"/>
      <c r="C287" s="94"/>
      <c r="D287" s="94"/>
      <c r="E287" s="94"/>
      <c r="F287" s="94"/>
      <c r="G287" s="94"/>
      <c r="H287" s="94"/>
      <c r="I287" s="94"/>
      <c r="J287" s="94"/>
    </row>
    <row r="288" ht="15.75" customHeight="1">
      <c r="A288" s="94"/>
      <c r="B288" s="94"/>
      <c r="C288" s="94"/>
      <c r="D288" s="94"/>
      <c r="E288" s="94"/>
      <c r="F288" s="94"/>
      <c r="G288" s="94"/>
      <c r="H288" s="94"/>
      <c r="I288" s="94"/>
      <c r="J288" s="94"/>
    </row>
    <row r="289" ht="15.75" customHeight="1">
      <c r="A289" s="94"/>
      <c r="B289" s="94"/>
      <c r="C289" s="94"/>
      <c r="D289" s="94"/>
      <c r="E289" s="94"/>
      <c r="F289" s="94"/>
      <c r="G289" s="94"/>
      <c r="H289" s="94"/>
      <c r="I289" s="94"/>
      <c r="J289" s="94"/>
    </row>
    <row r="290" ht="15.75" customHeight="1">
      <c r="A290" s="94"/>
      <c r="B290" s="94"/>
      <c r="C290" s="94"/>
      <c r="D290" s="94"/>
      <c r="E290" s="94"/>
      <c r="F290" s="94"/>
      <c r="G290" s="94"/>
      <c r="H290" s="94"/>
      <c r="I290" s="94"/>
      <c r="J290" s="94"/>
    </row>
    <row r="291" ht="15.75" customHeight="1">
      <c r="A291" s="94"/>
      <c r="B291" s="94"/>
      <c r="C291" s="94"/>
      <c r="D291" s="94"/>
      <c r="E291" s="94"/>
      <c r="F291" s="94"/>
      <c r="G291" s="94"/>
      <c r="H291" s="94"/>
      <c r="I291" s="94"/>
      <c r="J291" s="94"/>
    </row>
    <row r="292" ht="15.75" customHeight="1">
      <c r="A292" s="94"/>
      <c r="B292" s="94"/>
      <c r="C292" s="94"/>
      <c r="D292" s="94"/>
      <c r="E292" s="94"/>
      <c r="F292" s="94"/>
      <c r="G292" s="94"/>
      <c r="H292" s="94"/>
      <c r="I292" s="94"/>
      <c r="J292" s="94"/>
    </row>
    <row r="293" ht="15.75" customHeight="1">
      <c r="A293" s="94"/>
      <c r="B293" s="94"/>
      <c r="C293" s="94"/>
      <c r="D293" s="94"/>
      <c r="E293" s="94"/>
      <c r="F293" s="94"/>
      <c r="G293" s="94"/>
      <c r="H293" s="94"/>
      <c r="I293" s="94"/>
      <c r="J293" s="94"/>
    </row>
    <row r="294" ht="15.75" customHeight="1">
      <c r="A294" s="94"/>
      <c r="B294" s="94"/>
      <c r="C294" s="94"/>
      <c r="D294" s="94"/>
      <c r="E294" s="94"/>
      <c r="F294" s="94"/>
      <c r="G294" s="94"/>
      <c r="H294" s="94"/>
      <c r="I294" s="94"/>
      <c r="J294" s="94"/>
    </row>
    <row r="295" ht="15.75" customHeight="1">
      <c r="A295" s="94"/>
      <c r="B295" s="94"/>
      <c r="C295" s="94"/>
      <c r="D295" s="94"/>
      <c r="E295" s="94"/>
      <c r="F295" s="94"/>
      <c r="G295" s="94"/>
      <c r="H295" s="94"/>
      <c r="I295" s="94"/>
      <c r="J295" s="94"/>
    </row>
    <row r="296" ht="15.75" customHeight="1">
      <c r="A296" s="94"/>
      <c r="B296" s="94"/>
      <c r="C296" s="94"/>
      <c r="D296" s="94"/>
      <c r="E296" s="94"/>
      <c r="F296" s="94"/>
      <c r="G296" s="94"/>
      <c r="H296" s="94"/>
      <c r="I296" s="94"/>
      <c r="J296" s="94"/>
    </row>
    <row r="297" ht="15.75" customHeight="1">
      <c r="A297" s="94"/>
      <c r="B297" s="94"/>
      <c r="C297" s="94"/>
      <c r="D297" s="94"/>
      <c r="E297" s="94"/>
      <c r="F297" s="94"/>
      <c r="G297" s="94"/>
      <c r="H297" s="94"/>
      <c r="I297" s="94"/>
      <c r="J297" s="94"/>
    </row>
    <row r="298" ht="15.75" customHeight="1">
      <c r="A298" s="94"/>
      <c r="B298" s="94"/>
      <c r="C298" s="94"/>
      <c r="D298" s="94"/>
      <c r="E298" s="94"/>
      <c r="F298" s="94"/>
      <c r="G298" s="94"/>
      <c r="H298" s="94"/>
      <c r="I298" s="94"/>
      <c r="J298" s="94"/>
    </row>
    <row r="299" ht="15.75" customHeight="1">
      <c r="A299" s="94"/>
      <c r="B299" s="94"/>
      <c r="C299" s="94"/>
      <c r="D299" s="94"/>
      <c r="E299" s="94"/>
      <c r="F299" s="94"/>
      <c r="G299" s="94"/>
      <c r="H299" s="94"/>
      <c r="I299" s="94"/>
      <c r="J299" s="94"/>
    </row>
    <row r="300" ht="15.75" customHeight="1">
      <c r="A300" s="94"/>
      <c r="B300" s="94"/>
      <c r="C300" s="94"/>
      <c r="D300" s="94"/>
      <c r="E300" s="94"/>
      <c r="F300" s="94"/>
      <c r="G300" s="94"/>
      <c r="H300" s="94"/>
      <c r="I300" s="94"/>
      <c r="J300" s="94"/>
    </row>
    <row r="301" ht="15.75" customHeight="1">
      <c r="A301" s="94"/>
      <c r="B301" s="94"/>
      <c r="C301" s="94"/>
      <c r="D301" s="94"/>
      <c r="E301" s="94"/>
      <c r="F301" s="94"/>
      <c r="G301" s="94"/>
      <c r="H301" s="94"/>
      <c r="I301" s="94"/>
      <c r="J301" s="94"/>
    </row>
    <row r="302" ht="15.75" customHeight="1">
      <c r="A302" s="94"/>
      <c r="B302" s="94"/>
      <c r="C302" s="94"/>
      <c r="D302" s="94"/>
      <c r="E302" s="94"/>
      <c r="F302" s="94"/>
      <c r="G302" s="94"/>
      <c r="H302" s="94"/>
      <c r="I302" s="94"/>
      <c r="J302" s="94"/>
    </row>
    <row r="303" ht="15.75" customHeight="1">
      <c r="A303" s="94"/>
      <c r="B303" s="94"/>
      <c r="C303" s="94"/>
      <c r="D303" s="94"/>
      <c r="E303" s="94"/>
      <c r="F303" s="94"/>
      <c r="G303" s="94"/>
      <c r="H303" s="94"/>
      <c r="I303" s="94"/>
      <c r="J303" s="94"/>
    </row>
    <row r="304" ht="15.75" customHeight="1">
      <c r="A304" s="94"/>
      <c r="B304" s="94"/>
      <c r="C304" s="94"/>
      <c r="D304" s="94"/>
      <c r="E304" s="94"/>
      <c r="F304" s="94"/>
      <c r="G304" s="94"/>
      <c r="H304" s="94"/>
      <c r="I304" s="94"/>
      <c r="J304" s="94"/>
    </row>
    <row r="305" ht="15.75" customHeight="1">
      <c r="A305" s="94"/>
      <c r="B305" s="94"/>
      <c r="C305" s="94"/>
      <c r="D305" s="94"/>
      <c r="E305" s="94"/>
      <c r="F305" s="94"/>
      <c r="G305" s="94"/>
      <c r="H305" s="94"/>
      <c r="I305" s="94"/>
      <c r="J305" s="94"/>
    </row>
    <row r="306" ht="15.75" customHeight="1">
      <c r="A306" s="94"/>
      <c r="B306" s="94"/>
      <c r="C306" s="94"/>
      <c r="D306" s="94"/>
      <c r="E306" s="94"/>
      <c r="F306" s="94"/>
      <c r="G306" s="94"/>
      <c r="H306" s="94"/>
      <c r="I306" s="94"/>
      <c r="J306" s="94"/>
    </row>
    <row r="307" ht="15.75" customHeight="1">
      <c r="A307" s="94"/>
      <c r="B307" s="94"/>
      <c r="C307" s="94"/>
      <c r="D307" s="94"/>
      <c r="E307" s="94"/>
      <c r="F307" s="94"/>
      <c r="G307" s="94"/>
      <c r="H307" s="94"/>
      <c r="I307" s="94"/>
      <c r="J307" s="94"/>
    </row>
    <row r="308" ht="15.75" customHeight="1">
      <c r="A308" s="94"/>
      <c r="B308" s="94"/>
      <c r="C308" s="94"/>
      <c r="D308" s="94"/>
      <c r="E308" s="94"/>
      <c r="F308" s="94"/>
      <c r="G308" s="94"/>
      <c r="H308" s="94"/>
      <c r="I308" s="94"/>
      <c r="J308" s="94"/>
    </row>
    <row r="309" ht="15.75" customHeight="1">
      <c r="A309" s="94"/>
      <c r="B309" s="94"/>
      <c r="C309" s="94"/>
      <c r="D309" s="94"/>
      <c r="E309" s="94"/>
      <c r="F309" s="94"/>
      <c r="G309" s="94"/>
      <c r="H309" s="94"/>
      <c r="I309" s="94"/>
      <c r="J309" s="94"/>
    </row>
    <row r="310" ht="15.75" customHeight="1">
      <c r="A310" s="94"/>
      <c r="B310" s="94"/>
      <c r="C310" s="94"/>
      <c r="D310" s="94"/>
      <c r="E310" s="94"/>
      <c r="F310" s="94"/>
      <c r="G310" s="94"/>
      <c r="H310" s="94"/>
      <c r="I310" s="94"/>
      <c r="J310" s="94"/>
    </row>
    <row r="311" ht="15.75" customHeight="1">
      <c r="A311" s="94"/>
      <c r="B311" s="94"/>
      <c r="C311" s="94"/>
      <c r="D311" s="94"/>
      <c r="E311" s="94"/>
      <c r="F311" s="94"/>
      <c r="G311" s="94"/>
      <c r="H311" s="94"/>
      <c r="I311" s="94"/>
      <c r="J311" s="94"/>
    </row>
    <row r="312" ht="15.75" customHeight="1">
      <c r="A312" s="94"/>
      <c r="B312" s="94"/>
      <c r="C312" s="94"/>
      <c r="D312" s="94"/>
      <c r="E312" s="94"/>
      <c r="F312" s="94"/>
      <c r="G312" s="94"/>
      <c r="H312" s="94"/>
      <c r="I312" s="94"/>
      <c r="J312" s="94"/>
    </row>
    <row r="313" ht="15.75" customHeight="1">
      <c r="A313" s="94"/>
      <c r="B313" s="94"/>
      <c r="C313" s="94"/>
      <c r="D313" s="94"/>
      <c r="E313" s="94"/>
      <c r="F313" s="94"/>
      <c r="G313" s="94"/>
      <c r="H313" s="94"/>
      <c r="I313" s="94"/>
      <c r="J313" s="94"/>
    </row>
    <row r="314" ht="15.75" customHeight="1">
      <c r="A314" s="94"/>
      <c r="B314" s="94"/>
      <c r="C314" s="94"/>
      <c r="D314" s="94"/>
      <c r="E314" s="94"/>
      <c r="F314" s="94"/>
      <c r="G314" s="94"/>
      <c r="H314" s="94"/>
      <c r="I314" s="94"/>
      <c r="J314" s="94"/>
    </row>
    <row r="315" ht="15.75" customHeight="1">
      <c r="A315" s="94"/>
      <c r="B315" s="94"/>
      <c r="C315" s="94"/>
      <c r="D315" s="94"/>
      <c r="E315" s="94"/>
      <c r="F315" s="94"/>
      <c r="G315" s="94"/>
      <c r="H315" s="94"/>
      <c r="I315" s="94"/>
      <c r="J315" s="94"/>
    </row>
    <row r="316" ht="15.75" customHeight="1">
      <c r="A316" s="94"/>
      <c r="B316" s="94"/>
      <c r="C316" s="94"/>
      <c r="D316" s="94"/>
      <c r="E316" s="94"/>
      <c r="F316" s="94"/>
      <c r="G316" s="94"/>
      <c r="H316" s="94"/>
      <c r="I316" s="94"/>
      <c r="J316" s="94"/>
    </row>
    <row r="317" ht="15.75" customHeight="1">
      <c r="A317" s="94"/>
      <c r="B317" s="94"/>
      <c r="C317" s="94"/>
      <c r="D317" s="94"/>
      <c r="E317" s="94"/>
      <c r="F317" s="94"/>
      <c r="G317" s="94"/>
      <c r="H317" s="94"/>
      <c r="I317" s="94"/>
      <c r="J317" s="94"/>
    </row>
    <row r="318" ht="15.75" customHeight="1">
      <c r="A318" s="94"/>
      <c r="B318" s="94"/>
      <c r="C318" s="94"/>
      <c r="D318" s="94"/>
      <c r="E318" s="94"/>
      <c r="F318" s="94"/>
      <c r="G318" s="94"/>
      <c r="H318" s="94"/>
      <c r="I318" s="94"/>
      <c r="J318" s="94"/>
    </row>
    <row r="319" ht="15.75" customHeight="1">
      <c r="A319" s="94"/>
      <c r="B319" s="94"/>
      <c r="C319" s="94"/>
      <c r="D319" s="94"/>
      <c r="E319" s="94"/>
      <c r="F319" s="94"/>
      <c r="G319" s="94"/>
      <c r="H319" s="94"/>
      <c r="I319" s="94"/>
      <c r="J319" s="94"/>
    </row>
    <row r="320" ht="15.75" customHeight="1">
      <c r="A320" s="94"/>
      <c r="B320" s="94"/>
      <c r="C320" s="94"/>
      <c r="D320" s="94"/>
      <c r="E320" s="94"/>
      <c r="F320" s="94"/>
      <c r="G320" s="94"/>
      <c r="H320" s="94"/>
      <c r="I320" s="94"/>
      <c r="J320" s="94"/>
    </row>
    <row r="321" ht="15.75" customHeight="1">
      <c r="A321" s="94"/>
      <c r="B321" s="94"/>
      <c r="C321" s="94"/>
      <c r="D321" s="94"/>
      <c r="E321" s="94"/>
      <c r="F321" s="94"/>
      <c r="G321" s="94"/>
      <c r="H321" s="94"/>
      <c r="I321" s="94"/>
      <c r="J321" s="94"/>
    </row>
    <row r="322" ht="15.75" customHeight="1">
      <c r="A322" s="94"/>
      <c r="B322" s="94"/>
      <c r="C322" s="94"/>
      <c r="D322" s="94"/>
      <c r="E322" s="94"/>
      <c r="F322" s="94"/>
      <c r="G322" s="94"/>
      <c r="H322" s="94"/>
      <c r="I322" s="94"/>
      <c r="J322" s="94"/>
    </row>
    <row r="323" ht="15.75" customHeight="1">
      <c r="A323" s="94"/>
      <c r="B323" s="94"/>
      <c r="C323" s="94"/>
      <c r="D323" s="94"/>
      <c r="E323" s="94"/>
      <c r="F323" s="94"/>
      <c r="G323" s="94"/>
      <c r="H323" s="94"/>
      <c r="I323" s="94"/>
      <c r="J323" s="94"/>
    </row>
    <row r="324" ht="15.75" customHeight="1">
      <c r="A324" s="94"/>
      <c r="B324" s="94"/>
      <c r="C324" s="94"/>
      <c r="D324" s="94"/>
      <c r="E324" s="94"/>
      <c r="F324" s="94"/>
      <c r="G324" s="94"/>
      <c r="H324" s="94"/>
      <c r="I324" s="94"/>
      <c r="J324" s="94"/>
    </row>
    <row r="325" ht="15.75" customHeight="1">
      <c r="A325" s="94"/>
      <c r="B325" s="94"/>
      <c r="C325" s="94"/>
      <c r="D325" s="94"/>
      <c r="E325" s="94"/>
      <c r="F325" s="94"/>
      <c r="G325" s="94"/>
      <c r="H325" s="94"/>
      <c r="I325" s="94"/>
      <c r="J325" s="94"/>
    </row>
    <row r="326" ht="15.75" customHeight="1">
      <c r="A326" s="94"/>
      <c r="B326" s="94"/>
      <c r="C326" s="94"/>
      <c r="D326" s="94"/>
      <c r="E326" s="94"/>
      <c r="F326" s="94"/>
      <c r="G326" s="94"/>
      <c r="H326" s="94"/>
      <c r="I326" s="94"/>
      <c r="J326" s="94"/>
    </row>
    <row r="327" ht="15.75" customHeight="1">
      <c r="A327" s="94"/>
      <c r="B327" s="94"/>
      <c r="C327" s="94"/>
      <c r="D327" s="94"/>
      <c r="E327" s="94"/>
      <c r="F327" s="94"/>
      <c r="G327" s="94"/>
      <c r="H327" s="94"/>
      <c r="I327" s="94"/>
      <c r="J327" s="94"/>
    </row>
    <row r="328" ht="15.75" customHeight="1">
      <c r="A328" s="94"/>
      <c r="B328" s="94"/>
      <c r="C328" s="94"/>
      <c r="D328" s="94"/>
      <c r="E328" s="94"/>
      <c r="F328" s="94"/>
      <c r="G328" s="94"/>
      <c r="H328" s="94"/>
      <c r="I328" s="94"/>
      <c r="J328" s="94"/>
    </row>
    <row r="329" ht="15.75" customHeight="1">
      <c r="A329" s="94"/>
      <c r="B329" s="94"/>
      <c r="C329" s="94"/>
      <c r="D329" s="94"/>
      <c r="E329" s="94"/>
      <c r="F329" s="94"/>
      <c r="G329" s="94"/>
      <c r="H329" s="94"/>
      <c r="I329" s="94"/>
      <c r="J329" s="94"/>
    </row>
    <row r="330" ht="15.75" customHeight="1">
      <c r="A330" s="94"/>
      <c r="B330" s="94"/>
      <c r="C330" s="94"/>
      <c r="D330" s="94"/>
      <c r="E330" s="94"/>
      <c r="F330" s="94"/>
      <c r="G330" s="94"/>
      <c r="H330" s="94"/>
      <c r="I330" s="94"/>
      <c r="J330" s="94"/>
    </row>
    <row r="331" ht="15.75" customHeight="1">
      <c r="A331" s="94"/>
      <c r="B331" s="94"/>
      <c r="C331" s="94"/>
      <c r="D331" s="94"/>
      <c r="E331" s="94"/>
      <c r="F331" s="94"/>
      <c r="G331" s="94"/>
      <c r="H331" s="94"/>
      <c r="I331" s="94"/>
      <c r="J331" s="94"/>
    </row>
    <row r="332" ht="15.75" customHeight="1">
      <c r="A332" s="94"/>
      <c r="B332" s="94"/>
      <c r="C332" s="94"/>
      <c r="D332" s="94"/>
      <c r="E332" s="94"/>
      <c r="F332" s="94"/>
      <c r="G332" s="94"/>
      <c r="H332" s="94"/>
      <c r="I332" s="94"/>
      <c r="J332" s="94"/>
    </row>
    <row r="333" ht="15.75" customHeight="1">
      <c r="A333" s="94"/>
      <c r="B333" s="94"/>
      <c r="C333" s="94"/>
      <c r="D333" s="94"/>
      <c r="E333" s="94"/>
      <c r="F333" s="94"/>
      <c r="G333" s="94"/>
      <c r="H333" s="94"/>
      <c r="I333" s="94"/>
      <c r="J333" s="94"/>
    </row>
    <row r="334" ht="15.75" customHeight="1">
      <c r="A334" s="94"/>
      <c r="B334" s="94"/>
      <c r="C334" s="94"/>
      <c r="D334" s="94"/>
      <c r="E334" s="94"/>
      <c r="F334" s="94"/>
      <c r="G334" s="94"/>
      <c r="H334" s="94"/>
      <c r="I334" s="94"/>
      <c r="J334" s="94"/>
    </row>
    <row r="335" ht="15.75" customHeight="1">
      <c r="A335" s="94"/>
      <c r="B335" s="94"/>
      <c r="C335" s="94"/>
      <c r="D335" s="94"/>
      <c r="E335" s="94"/>
      <c r="F335" s="94"/>
      <c r="G335" s="94"/>
      <c r="H335" s="94"/>
      <c r="I335" s="94"/>
      <c r="J335" s="94"/>
    </row>
    <row r="336" ht="15.75" customHeight="1">
      <c r="A336" s="94"/>
      <c r="B336" s="94"/>
      <c r="C336" s="94"/>
      <c r="D336" s="94"/>
      <c r="E336" s="94"/>
      <c r="F336" s="94"/>
      <c r="G336" s="94"/>
      <c r="H336" s="94"/>
      <c r="I336" s="94"/>
      <c r="J336" s="94"/>
    </row>
    <row r="337" ht="15.75" customHeight="1">
      <c r="A337" s="94"/>
      <c r="B337" s="94"/>
      <c r="C337" s="94"/>
      <c r="D337" s="94"/>
      <c r="E337" s="94"/>
      <c r="F337" s="94"/>
      <c r="G337" s="94"/>
      <c r="H337" s="94"/>
      <c r="I337" s="94"/>
      <c r="J337" s="94"/>
    </row>
    <row r="338" ht="15.75" customHeight="1">
      <c r="A338" s="94"/>
      <c r="B338" s="94"/>
      <c r="C338" s="94"/>
      <c r="D338" s="94"/>
      <c r="E338" s="94"/>
      <c r="F338" s="94"/>
      <c r="G338" s="94"/>
      <c r="H338" s="94"/>
      <c r="I338" s="94"/>
      <c r="J338" s="94"/>
    </row>
    <row r="339" ht="15.75" customHeight="1">
      <c r="A339" s="94"/>
      <c r="B339" s="94"/>
      <c r="C339" s="94"/>
      <c r="D339" s="94"/>
      <c r="E339" s="94"/>
      <c r="F339" s="94"/>
      <c r="G339" s="94"/>
      <c r="H339" s="94"/>
      <c r="I339" s="94"/>
      <c r="J339" s="94"/>
    </row>
    <row r="340" ht="15.75" customHeight="1">
      <c r="A340" s="94"/>
      <c r="B340" s="94"/>
      <c r="C340" s="94"/>
      <c r="D340" s="94"/>
      <c r="E340" s="94"/>
      <c r="F340" s="94"/>
      <c r="G340" s="94"/>
      <c r="H340" s="94"/>
      <c r="I340" s="94"/>
      <c r="J340" s="94"/>
    </row>
    <row r="341" ht="15.75" customHeight="1">
      <c r="A341" s="94"/>
      <c r="B341" s="94"/>
      <c r="C341" s="94"/>
      <c r="D341" s="94"/>
      <c r="E341" s="94"/>
      <c r="F341" s="94"/>
      <c r="G341" s="94"/>
      <c r="H341" s="94"/>
      <c r="I341" s="94"/>
      <c r="J341" s="94"/>
    </row>
    <row r="342" ht="15.75" customHeight="1">
      <c r="A342" s="94"/>
      <c r="B342" s="94"/>
      <c r="C342" s="94"/>
      <c r="D342" s="94"/>
      <c r="E342" s="94"/>
      <c r="F342" s="94"/>
      <c r="G342" s="94"/>
      <c r="H342" s="94"/>
      <c r="I342" s="94"/>
      <c r="J342" s="94"/>
    </row>
    <row r="343" ht="15.75" customHeight="1">
      <c r="A343" s="94"/>
      <c r="B343" s="94"/>
      <c r="C343" s="94"/>
      <c r="D343" s="94"/>
      <c r="E343" s="94"/>
      <c r="F343" s="94"/>
      <c r="G343" s="94"/>
      <c r="H343" s="94"/>
      <c r="I343" s="94"/>
      <c r="J343" s="94"/>
    </row>
    <row r="344" ht="15.75" customHeight="1">
      <c r="A344" s="94"/>
      <c r="B344" s="94"/>
      <c r="C344" s="94"/>
      <c r="D344" s="94"/>
      <c r="E344" s="94"/>
      <c r="F344" s="94"/>
      <c r="G344" s="94"/>
      <c r="H344" s="94"/>
      <c r="I344" s="94"/>
      <c r="J344" s="94"/>
    </row>
    <row r="345" ht="15.75" customHeight="1">
      <c r="A345" s="94"/>
      <c r="B345" s="94"/>
      <c r="C345" s="94"/>
      <c r="D345" s="94"/>
      <c r="E345" s="94"/>
      <c r="F345" s="94"/>
      <c r="G345" s="94"/>
      <c r="H345" s="94"/>
      <c r="I345" s="94"/>
      <c r="J345" s="94"/>
    </row>
    <row r="346" ht="15.75" customHeight="1">
      <c r="A346" s="94"/>
      <c r="B346" s="94"/>
      <c r="C346" s="94"/>
      <c r="D346" s="94"/>
      <c r="E346" s="94"/>
      <c r="F346" s="94"/>
      <c r="G346" s="94"/>
      <c r="H346" s="94"/>
      <c r="I346" s="94"/>
      <c r="J346" s="94"/>
    </row>
    <row r="347" ht="15.75" customHeight="1">
      <c r="A347" s="94"/>
      <c r="B347" s="94"/>
      <c r="C347" s="94"/>
      <c r="D347" s="94"/>
      <c r="E347" s="94"/>
      <c r="F347" s="94"/>
      <c r="G347" s="94"/>
      <c r="H347" s="94"/>
      <c r="I347" s="94"/>
      <c r="J347" s="94"/>
    </row>
    <row r="348" ht="15.75" customHeight="1">
      <c r="A348" s="94"/>
      <c r="B348" s="94"/>
      <c r="C348" s="94"/>
      <c r="D348" s="94"/>
      <c r="E348" s="94"/>
      <c r="F348" s="94"/>
      <c r="G348" s="94"/>
      <c r="H348" s="94"/>
      <c r="I348" s="94"/>
      <c r="J348" s="94"/>
    </row>
    <row r="349" ht="15.75" customHeight="1">
      <c r="A349" s="94"/>
      <c r="B349" s="94"/>
      <c r="C349" s="94"/>
      <c r="D349" s="94"/>
      <c r="E349" s="94"/>
      <c r="F349" s="94"/>
      <c r="G349" s="94"/>
      <c r="H349" s="94"/>
      <c r="I349" s="94"/>
      <c r="J349" s="94"/>
    </row>
    <row r="350" ht="15.75" customHeight="1">
      <c r="A350" s="94"/>
      <c r="B350" s="94"/>
      <c r="C350" s="94"/>
      <c r="D350" s="94"/>
      <c r="E350" s="94"/>
      <c r="F350" s="94"/>
      <c r="G350" s="94"/>
      <c r="H350" s="94"/>
      <c r="I350" s="94"/>
      <c r="J350" s="94"/>
    </row>
    <row r="351" ht="15.75" customHeight="1">
      <c r="A351" s="94"/>
      <c r="B351" s="94"/>
      <c r="C351" s="94"/>
      <c r="D351" s="94"/>
      <c r="E351" s="94"/>
      <c r="F351" s="94"/>
      <c r="G351" s="94"/>
      <c r="H351" s="94"/>
      <c r="I351" s="94"/>
      <c r="J351" s="94"/>
    </row>
    <row r="352" ht="15.75" customHeight="1">
      <c r="A352" s="94"/>
      <c r="B352" s="94"/>
      <c r="C352" s="94"/>
      <c r="D352" s="94"/>
      <c r="E352" s="94"/>
      <c r="F352" s="94"/>
      <c r="G352" s="94"/>
      <c r="H352" s="94"/>
      <c r="I352" s="94"/>
      <c r="J352" s="94"/>
    </row>
    <row r="353" ht="15.75" customHeight="1">
      <c r="A353" s="94"/>
      <c r="B353" s="94"/>
      <c r="C353" s="94"/>
      <c r="D353" s="94"/>
      <c r="E353" s="94"/>
      <c r="F353" s="94"/>
      <c r="G353" s="94"/>
      <c r="H353" s="94"/>
      <c r="I353" s="94"/>
      <c r="J353" s="94"/>
    </row>
    <row r="354" ht="15.75" customHeight="1">
      <c r="A354" s="94"/>
      <c r="B354" s="94"/>
      <c r="C354" s="94"/>
      <c r="D354" s="94"/>
      <c r="E354" s="94"/>
      <c r="F354" s="94"/>
      <c r="G354" s="94"/>
      <c r="H354" s="94"/>
      <c r="I354" s="94"/>
      <c r="J354" s="94"/>
    </row>
    <row r="355" ht="15.75" customHeight="1">
      <c r="A355" s="94"/>
      <c r="B355" s="94"/>
      <c r="C355" s="94"/>
      <c r="D355" s="94"/>
      <c r="E355" s="94"/>
      <c r="F355" s="94"/>
      <c r="G355" s="94"/>
      <c r="H355" s="94"/>
      <c r="I355" s="94"/>
      <c r="J355" s="94"/>
    </row>
    <row r="356" ht="15.75" customHeight="1">
      <c r="A356" s="94"/>
      <c r="B356" s="94"/>
      <c r="C356" s="94"/>
      <c r="D356" s="94"/>
      <c r="E356" s="94"/>
      <c r="F356" s="94"/>
      <c r="G356" s="94"/>
      <c r="H356" s="94"/>
      <c r="I356" s="94"/>
      <c r="J356" s="94"/>
    </row>
    <row r="357" ht="15.75" customHeight="1">
      <c r="A357" s="94"/>
      <c r="B357" s="94"/>
      <c r="C357" s="94"/>
      <c r="D357" s="94"/>
      <c r="E357" s="94"/>
      <c r="F357" s="94"/>
      <c r="G357" s="94"/>
      <c r="H357" s="94"/>
      <c r="I357" s="94"/>
      <c r="J357" s="94"/>
    </row>
    <row r="358" ht="15.75" customHeight="1">
      <c r="A358" s="94"/>
      <c r="B358" s="94"/>
      <c r="C358" s="94"/>
      <c r="D358" s="94"/>
      <c r="E358" s="94"/>
      <c r="F358" s="94"/>
      <c r="G358" s="94"/>
      <c r="H358" s="94"/>
      <c r="I358" s="94"/>
      <c r="J358" s="94"/>
    </row>
    <row r="359" ht="15.75" customHeight="1">
      <c r="A359" s="94"/>
      <c r="B359" s="94"/>
      <c r="C359" s="94"/>
      <c r="D359" s="94"/>
      <c r="E359" s="94"/>
      <c r="F359" s="94"/>
      <c r="G359" s="94"/>
      <c r="H359" s="94"/>
      <c r="I359" s="94"/>
      <c r="J359" s="94"/>
    </row>
    <row r="360" ht="15.75" customHeight="1">
      <c r="A360" s="94"/>
      <c r="B360" s="94"/>
      <c r="C360" s="94"/>
      <c r="D360" s="94"/>
      <c r="E360" s="94"/>
      <c r="F360" s="94"/>
      <c r="G360" s="94"/>
      <c r="H360" s="94"/>
      <c r="I360" s="94"/>
      <c r="J360" s="94"/>
    </row>
    <row r="361" ht="15.75" customHeight="1">
      <c r="A361" s="94"/>
      <c r="B361" s="94"/>
      <c r="C361" s="94"/>
      <c r="D361" s="94"/>
      <c r="E361" s="94"/>
      <c r="F361" s="94"/>
      <c r="G361" s="94"/>
      <c r="H361" s="94"/>
      <c r="I361" s="94"/>
      <c r="J361" s="94"/>
    </row>
    <row r="362" ht="15.75" customHeight="1">
      <c r="A362" s="94"/>
      <c r="B362" s="94"/>
      <c r="C362" s="94"/>
      <c r="D362" s="94"/>
      <c r="E362" s="94"/>
      <c r="F362" s="94"/>
      <c r="G362" s="94"/>
      <c r="H362" s="94"/>
      <c r="I362" s="94"/>
      <c r="J362" s="94"/>
    </row>
    <row r="363" ht="15.75" customHeight="1">
      <c r="A363" s="94"/>
      <c r="B363" s="94"/>
      <c r="C363" s="94"/>
      <c r="D363" s="94"/>
      <c r="E363" s="94"/>
      <c r="F363" s="94"/>
      <c r="G363" s="94"/>
      <c r="H363" s="94"/>
      <c r="I363" s="94"/>
      <c r="J363" s="94"/>
    </row>
    <row r="364" ht="15.75" customHeight="1">
      <c r="A364" s="94"/>
      <c r="B364" s="94"/>
      <c r="C364" s="94"/>
      <c r="D364" s="94"/>
      <c r="E364" s="94"/>
      <c r="F364" s="94"/>
      <c r="G364" s="94"/>
      <c r="H364" s="94"/>
      <c r="I364" s="94"/>
      <c r="J364" s="94"/>
    </row>
    <row r="365" ht="15.75" customHeight="1">
      <c r="A365" s="94"/>
      <c r="B365" s="94"/>
      <c r="C365" s="94"/>
      <c r="D365" s="94"/>
      <c r="E365" s="94"/>
      <c r="F365" s="94"/>
      <c r="G365" s="94"/>
      <c r="H365" s="94"/>
      <c r="I365" s="94"/>
      <c r="J365" s="94"/>
    </row>
    <row r="366" ht="15.75" customHeight="1">
      <c r="A366" s="94"/>
      <c r="B366" s="94"/>
      <c r="C366" s="94"/>
      <c r="D366" s="94"/>
      <c r="E366" s="94"/>
      <c r="F366" s="94"/>
      <c r="G366" s="94"/>
      <c r="H366" s="94"/>
      <c r="I366" s="94"/>
      <c r="J366" s="94"/>
    </row>
    <row r="367" ht="15.75" customHeight="1">
      <c r="A367" s="94"/>
      <c r="B367" s="94"/>
      <c r="C367" s="94"/>
      <c r="D367" s="94"/>
      <c r="E367" s="94"/>
      <c r="F367" s="94"/>
      <c r="G367" s="94"/>
      <c r="H367" s="94"/>
      <c r="I367" s="94"/>
      <c r="J367" s="94"/>
    </row>
    <row r="368" ht="15.75" customHeight="1">
      <c r="A368" s="94"/>
      <c r="B368" s="94"/>
      <c r="C368" s="94"/>
      <c r="D368" s="94"/>
      <c r="E368" s="94"/>
      <c r="F368" s="94"/>
      <c r="G368" s="94"/>
      <c r="H368" s="94"/>
      <c r="I368" s="94"/>
      <c r="J368" s="94"/>
    </row>
    <row r="369" ht="15.75" customHeight="1">
      <c r="A369" s="94"/>
      <c r="B369" s="94"/>
      <c r="C369" s="94"/>
      <c r="D369" s="94"/>
      <c r="E369" s="94"/>
      <c r="F369" s="94"/>
      <c r="G369" s="94"/>
      <c r="H369" s="94"/>
      <c r="I369" s="94"/>
      <c r="J369" s="94"/>
    </row>
    <row r="370" ht="15.75" customHeight="1">
      <c r="A370" s="94"/>
      <c r="B370" s="94"/>
      <c r="C370" s="94"/>
      <c r="D370" s="94"/>
      <c r="E370" s="94"/>
      <c r="F370" s="94"/>
      <c r="G370" s="94"/>
      <c r="H370" s="94"/>
      <c r="I370" s="94"/>
      <c r="J370" s="94"/>
    </row>
    <row r="371" ht="15.75" customHeight="1">
      <c r="A371" s="94"/>
      <c r="B371" s="94"/>
      <c r="C371" s="94"/>
      <c r="D371" s="94"/>
      <c r="E371" s="94"/>
      <c r="F371" s="94"/>
      <c r="G371" s="94"/>
      <c r="H371" s="94"/>
      <c r="I371" s="94"/>
      <c r="J371" s="94"/>
    </row>
    <row r="372" ht="15.75" customHeight="1">
      <c r="A372" s="94"/>
      <c r="B372" s="94"/>
      <c r="C372" s="94"/>
      <c r="D372" s="94"/>
      <c r="E372" s="94"/>
      <c r="F372" s="94"/>
      <c r="G372" s="94"/>
      <c r="H372" s="94"/>
      <c r="I372" s="94"/>
      <c r="J372" s="94"/>
    </row>
    <row r="373" ht="15.75" customHeight="1">
      <c r="A373" s="94"/>
      <c r="B373" s="94"/>
      <c r="C373" s="94"/>
      <c r="D373" s="94"/>
      <c r="E373" s="94"/>
      <c r="F373" s="94"/>
      <c r="G373" s="94"/>
      <c r="H373" s="94"/>
      <c r="I373" s="94"/>
      <c r="J373" s="94"/>
    </row>
    <row r="374" ht="15.75" customHeight="1">
      <c r="A374" s="94"/>
      <c r="B374" s="94"/>
      <c r="C374" s="94"/>
      <c r="D374" s="94"/>
      <c r="E374" s="94"/>
      <c r="F374" s="94"/>
      <c r="G374" s="94"/>
      <c r="H374" s="94"/>
      <c r="I374" s="94"/>
      <c r="J374" s="94"/>
    </row>
    <row r="375" ht="15.75" customHeight="1">
      <c r="A375" s="94"/>
      <c r="B375" s="94"/>
      <c r="C375" s="94"/>
      <c r="D375" s="94"/>
      <c r="E375" s="94"/>
      <c r="F375" s="94"/>
      <c r="G375" s="94"/>
      <c r="H375" s="94"/>
      <c r="I375" s="94"/>
      <c r="J375" s="94"/>
    </row>
    <row r="376" ht="15.75" customHeight="1">
      <c r="A376" s="94"/>
      <c r="B376" s="94"/>
      <c r="C376" s="94"/>
      <c r="D376" s="94"/>
      <c r="E376" s="94"/>
      <c r="F376" s="94"/>
      <c r="G376" s="94"/>
      <c r="H376" s="94"/>
      <c r="I376" s="94"/>
      <c r="J376" s="94"/>
    </row>
    <row r="377" ht="15.75" customHeight="1">
      <c r="A377" s="94"/>
      <c r="B377" s="94"/>
      <c r="C377" s="94"/>
      <c r="D377" s="94"/>
      <c r="E377" s="94"/>
      <c r="F377" s="94"/>
      <c r="G377" s="94"/>
      <c r="H377" s="94"/>
      <c r="I377" s="94"/>
      <c r="J377" s="94"/>
    </row>
    <row r="378" ht="15.75" customHeight="1">
      <c r="A378" s="94"/>
      <c r="B378" s="94"/>
      <c r="C378" s="94"/>
      <c r="D378" s="94"/>
      <c r="E378" s="94"/>
      <c r="F378" s="94"/>
      <c r="G378" s="94"/>
      <c r="H378" s="94"/>
      <c r="I378" s="94"/>
      <c r="J378" s="94"/>
    </row>
    <row r="379" ht="15.75" customHeight="1">
      <c r="A379" s="94"/>
      <c r="B379" s="94"/>
      <c r="C379" s="94"/>
      <c r="D379" s="94"/>
      <c r="E379" s="94"/>
      <c r="F379" s="94"/>
      <c r="G379" s="94"/>
      <c r="H379" s="94"/>
      <c r="I379" s="94"/>
      <c r="J379" s="94"/>
    </row>
    <row r="380" ht="15.75" customHeight="1">
      <c r="A380" s="94"/>
      <c r="B380" s="94"/>
      <c r="C380" s="94"/>
      <c r="D380" s="94"/>
      <c r="E380" s="94"/>
      <c r="F380" s="94"/>
      <c r="G380" s="94"/>
      <c r="H380" s="94"/>
      <c r="I380" s="94"/>
      <c r="J380" s="94"/>
    </row>
    <row r="381" ht="15.75" customHeight="1">
      <c r="A381" s="94"/>
      <c r="B381" s="94"/>
      <c r="C381" s="94"/>
      <c r="D381" s="94"/>
      <c r="E381" s="94"/>
      <c r="F381" s="94"/>
      <c r="G381" s="94"/>
      <c r="H381" s="94"/>
      <c r="I381" s="94"/>
      <c r="J381" s="94"/>
    </row>
    <row r="382" ht="15.75" customHeight="1">
      <c r="A382" s="94"/>
      <c r="B382" s="94"/>
      <c r="C382" s="94"/>
      <c r="D382" s="94"/>
      <c r="E382" s="94"/>
      <c r="F382" s="94"/>
      <c r="G382" s="94"/>
      <c r="H382" s="94"/>
      <c r="I382" s="94"/>
      <c r="J382" s="94"/>
    </row>
    <row r="383" ht="15.75" customHeight="1">
      <c r="A383" s="94"/>
      <c r="B383" s="94"/>
      <c r="C383" s="94"/>
      <c r="D383" s="94"/>
      <c r="E383" s="94"/>
      <c r="F383" s="94"/>
      <c r="G383" s="94"/>
      <c r="H383" s="94"/>
      <c r="I383" s="94"/>
      <c r="J383" s="94"/>
    </row>
    <row r="384" ht="15.75" customHeight="1">
      <c r="A384" s="94"/>
      <c r="B384" s="94"/>
      <c r="C384" s="94"/>
      <c r="D384" s="94"/>
      <c r="E384" s="94"/>
      <c r="F384" s="94"/>
      <c r="G384" s="94"/>
      <c r="H384" s="94"/>
      <c r="I384" s="94"/>
      <c r="J384" s="94"/>
    </row>
    <row r="385" ht="15.75" customHeight="1">
      <c r="A385" s="94"/>
      <c r="B385" s="94"/>
      <c r="C385" s="94"/>
      <c r="D385" s="94"/>
      <c r="E385" s="94"/>
      <c r="F385" s="94"/>
      <c r="G385" s="94"/>
      <c r="H385" s="94"/>
      <c r="I385" s="94"/>
      <c r="J385" s="94"/>
    </row>
    <row r="386" ht="15.75" customHeight="1">
      <c r="A386" s="94"/>
      <c r="B386" s="94"/>
      <c r="C386" s="94"/>
      <c r="D386" s="94"/>
      <c r="E386" s="94"/>
      <c r="F386" s="94"/>
      <c r="G386" s="94"/>
      <c r="H386" s="94"/>
      <c r="I386" s="94"/>
      <c r="J386" s="94"/>
    </row>
    <row r="387" ht="15.75" customHeight="1">
      <c r="A387" s="94"/>
      <c r="B387" s="94"/>
      <c r="C387" s="94"/>
      <c r="D387" s="94"/>
      <c r="E387" s="94"/>
      <c r="F387" s="94"/>
      <c r="G387" s="94"/>
      <c r="H387" s="94"/>
      <c r="I387" s="94"/>
      <c r="J387" s="94"/>
    </row>
    <row r="388" ht="15.75" customHeight="1">
      <c r="A388" s="94"/>
      <c r="B388" s="94"/>
      <c r="C388" s="94"/>
      <c r="D388" s="94"/>
      <c r="E388" s="94"/>
      <c r="F388" s="94"/>
      <c r="G388" s="94"/>
      <c r="H388" s="94"/>
      <c r="I388" s="94"/>
      <c r="J388" s="94"/>
    </row>
    <row r="389" ht="15.75" customHeight="1">
      <c r="A389" s="94"/>
      <c r="B389" s="94"/>
      <c r="C389" s="94"/>
      <c r="D389" s="94"/>
      <c r="E389" s="94"/>
      <c r="F389" s="94"/>
      <c r="G389" s="94"/>
      <c r="H389" s="94"/>
      <c r="I389" s="94"/>
      <c r="J389" s="94"/>
    </row>
    <row r="390" ht="15.75" customHeight="1">
      <c r="A390" s="94"/>
      <c r="B390" s="94"/>
      <c r="C390" s="94"/>
      <c r="D390" s="94"/>
      <c r="E390" s="94"/>
      <c r="F390" s="94"/>
      <c r="G390" s="94"/>
      <c r="H390" s="94"/>
      <c r="I390" s="94"/>
      <c r="J390" s="94"/>
    </row>
    <row r="391" ht="15.75" customHeight="1">
      <c r="A391" s="94"/>
      <c r="B391" s="94"/>
      <c r="C391" s="94"/>
      <c r="D391" s="94"/>
      <c r="E391" s="94"/>
      <c r="F391" s="94"/>
      <c r="G391" s="94"/>
      <c r="H391" s="94"/>
      <c r="I391" s="94"/>
      <c r="J391" s="94"/>
    </row>
    <row r="392" ht="15.75" customHeight="1">
      <c r="A392" s="94"/>
      <c r="B392" s="94"/>
      <c r="C392" s="94"/>
      <c r="D392" s="94"/>
      <c r="E392" s="94"/>
      <c r="F392" s="94"/>
      <c r="G392" s="94"/>
      <c r="H392" s="94"/>
      <c r="I392" s="94"/>
      <c r="J392" s="94"/>
    </row>
    <row r="393" ht="15.75" customHeight="1">
      <c r="A393" s="94"/>
      <c r="B393" s="94"/>
      <c r="C393" s="94"/>
      <c r="D393" s="94"/>
      <c r="E393" s="94"/>
      <c r="F393" s="94"/>
      <c r="G393" s="94"/>
      <c r="H393" s="94"/>
      <c r="I393" s="94"/>
      <c r="J393" s="94"/>
    </row>
    <row r="394" ht="15.75" customHeight="1">
      <c r="A394" s="94"/>
      <c r="B394" s="94"/>
      <c r="C394" s="94"/>
      <c r="D394" s="94"/>
      <c r="E394" s="94"/>
      <c r="F394" s="94"/>
      <c r="G394" s="94"/>
      <c r="H394" s="94"/>
      <c r="I394" s="94"/>
      <c r="J394" s="94"/>
    </row>
    <row r="395" ht="15.75" customHeight="1">
      <c r="A395" s="94"/>
      <c r="B395" s="94"/>
      <c r="C395" s="94"/>
      <c r="D395" s="94"/>
      <c r="E395" s="94"/>
      <c r="F395" s="94"/>
      <c r="G395" s="94"/>
      <c r="H395" s="94"/>
      <c r="I395" s="94"/>
      <c r="J395" s="94"/>
    </row>
    <row r="396" ht="15.75" customHeight="1">
      <c r="A396" s="94"/>
      <c r="B396" s="94"/>
      <c r="C396" s="94"/>
      <c r="D396" s="94"/>
      <c r="E396" s="94"/>
      <c r="F396" s="94"/>
      <c r="G396" s="94"/>
      <c r="H396" s="94"/>
      <c r="I396" s="94"/>
      <c r="J396" s="94"/>
    </row>
    <row r="397" ht="15.75" customHeight="1">
      <c r="A397" s="94"/>
      <c r="B397" s="94"/>
      <c r="C397" s="94"/>
      <c r="D397" s="94"/>
      <c r="E397" s="94"/>
      <c r="F397" s="94"/>
      <c r="G397" s="94"/>
      <c r="H397" s="94"/>
      <c r="I397" s="94"/>
      <c r="J397" s="94"/>
    </row>
    <row r="398" ht="15.75" customHeight="1">
      <c r="A398" s="94"/>
      <c r="B398" s="94"/>
      <c r="C398" s="94"/>
      <c r="D398" s="94"/>
      <c r="E398" s="94"/>
      <c r="F398" s="94"/>
      <c r="G398" s="94"/>
      <c r="H398" s="94"/>
      <c r="I398" s="94"/>
      <c r="J398" s="94"/>
    </row>
    <row r="399" ht="15.75" customHeight="1">
      <c r="A399" s="94"/>
      <c r="B399" s="94"/>
      <c r="C399" s="94"/>
      <c r="D399" s="94"/>
      <c r="E399" s="94"/>
      <c r="F399" s="94"/>
      <c r="G399" s="94"/>
      <c r="H399" s="94"/>
      <c r="I399" s="94"/>
      <c r="J399" s="94"/>
    </row>
    <row r="400" ht="15.75" customHeight="1">
      <c r="A400" s="94"/>
      <c r="B400" s="94"/>
      <c r="C400" s="94"/>
      <c r="D400" s="94"/>
      <c r="E400" s="94"/>
      <c r="F400" s="94"/>
      <c r="G400" s="94"/>
      <c r="H400" s="94"/>
      <c r="I400" s="94"/>
      <c r="J400" s="94"/>
    </row>
    <row r="401" ht="15.75" customHeight="1">
      <c r="A401" s="94"/>
      <c r="B401" s="94"/>
      <c r="C401" s="94"/>
      <c r="D401" s="94"/>
      <c r="E401" s="94"/>
      <c r="F401" s="94"/>
      <c r="G401" s="94"/>
      <c r="H401" s="94"/>
      <c r="I401" s="94"/>
      <c r="J401" s="94"/>
    </row>
    <row r="402" ht="15.75" customHeight="1">
      <c r="A402" s="94"/>
      <c r="B402" s="94"/>
      <c r="C402" s="94"/>
      <c r="D402" s="94"/>
      <c r="E402" s="94"/>
      <c r="F402" s="94"/>
      <c r="G402" s="94"/>
      <c r="H402" s="94"/>
      <c r="I402" s="94"/>
      <c r="J402" s="94"/>
    </row>
    <row r="403" ht="15.75" customHeight="1">
      <c r="A403" s="94"/>
      <c r="B403" s="94"/>
      <c r="C403" s="94"/>
      <c r="D403" s="94"/>
      <c r="E403" s="94"/>
      <c r="F403" s="94"/>
      <c r="G403" s="94"/>
      <c r="H403" s="94"/>
      <c r="I403" s="94"/>
      <c r="J403" s="94"/>
    </row>
    <row r="404" ht="15.75" customHeight="1">
      <c r="A404" s="94"/>
      <c r="B404" s="94"/>
      <c r="C404" s="94"/>
      <c r="D404" s="94"/>
      <c r="E404" s="94"/>
      <c r="F404" s="94"/>
      <c r="G404" s="94"/>
      <c r="H404" s="94"/>
      <c r="I404" s="94"/>
      <c r="J404" s="94"/>
    </row>
    <row r="405" ht="15.75" customHeight="1">
      <c r="A405" s="94"/>
      <c r="B405" s="94"/>
      <c r="C405" s="94"/>
      <c r="D405" s="94"/>
      <c r="E405" s="94"/>
      <c r="F405" s="94"/>
      <c r="G405" s="94"/>
      <c r="H405" s="94"/>
      <c r="I405" s="94"/>
      <c r="J405" s="94"/>
    </row>
    <row r="406" ht="15.75" customHeight="1">
      <c r="A406" s="94"/>
      <c r="B406" s="94"/>
      <c r="C406" s="94"/>
      <c r="D406" s="94"/>
      <c r="E406" s="94"/>
      <c r="F406" s="94"/>
      <c r="G406" s="94"/>
      <c r="H406" s="94"/>
      <c r="I406" s="94"/>
      <c r="J406" s="94"/>
    </row>
    <row r="407" ht="15.75" customHeight="1">
      <c r="A407" s="94"/>
      <c r="B407" s="94"/>
      <c r="C407" s="94"/>
      <c r="D407" s="94"/>
      <c r="E407" s="94"/>
      <c r="F407" s="94"/>
      <c r="G407" s="94"/>
      <c r="H407" s="94"/>
      <c r="I407" s="94"/>
      <c r="J407" s="94"/>
    </row>
    <row r="408" ht="15.75" customHeight="1">
      <c r="A408" s="94"/>
      <c r="B408" s="94"/>
      <c r="C408" s="94"/>
      <c r="D408" s="94"/>
      <c r="E408" s="94"/>
      <c r="F408" s="94"/>
      <c r="G408" s="94"/>
      <c r="H408" s="94"/>
      <c r="I408" s="94"/>
      <c r="J408" s="94"/>
    </row>
    <row r="409" ht="15.75" customHeight="1">
      <c r="A409" s="94"/>
      <c r="B409" s="94"/>
      <c r="C409" s="94"/>
      <c r="D409" s="94"/>
      <c r="E409" s="94"/>
      <c r="F409" s="94"/>
      <c r="G409" s="94"/>
      <c r="H409" s="94"/>
      <c r="I409" s="94"/>
      <c r="J409" s="94"/>
    </row>
    <row r="410" ht="15.75" customHeight="1">
      <c r="A410" s="94"/>
      <c r="B410" s="94"/>
      <c r="C410" s="94"/>
      <c r="D410" s="94"/>
      <c r="E410" s="94"/>
      <c r="F410" s="94"/>
      <c r="G410" s="94"/>
      <c r="H410" s="94"/>
      <c r="I410" s="94"/>
      <c r="J410" s="94"/>
    </row>
    <row r="411" ht="15.75" customHeight="1">
      <c r="A411" s="94"/>
      <c r="B411" s="94"/>
      <c r="C411" s="94"/>
      <c r="D411" s="94"/>
      <c r="E411" s="94"/>
      <c r="F411" s="94"/>
      <c r="G411" s="94"/>
      <c r="H411" s="94"/>
      <c r="I411" s="94"/>
      <c r="J411" s="94"/>
    </row>
    <row r="412" ht="15.75" customHeight="1">
      <c r="A412" s="94"/>
      <c r="B412" s="94"/>
      <c r="C412" s="94"/>
      <c r="D412" s="94"/>
      <c r="E412" s="94"/>
      <c r="F412" s="94"/>
      <c r="G412" s="94"/>
      <c r="H412" s="94"/>
      <c r="I412" s="94"/>
      <c r="J412" s="94"/>
    </row>
    <row r="413" ht="15.75" customHeight="1">
      <c r="A413" s="94"/>
      <c r="B413" s="94"/>
      <c r="C413" s="94"/>
      <c r="D413" s="94"/>
      <c r="E413" s="94"/>
      <c r="F413" s="94"/>
      <c r="G413" s="94"/>
      <c r="H413" s="94"/>
      <c r="I413" s="94"/>
      <c r="J413" s="94"/>
    </row>
    <row r="414" ht="15.75" customHeight="1">
      <c r="A414" s="94"/>
      <c r="B414" s="94"/>
      <c r="C414" s="94"/>
      <c r="D414" s="94"/>
      <c r="E414" s="94"/>
      <c r="F414" s="94"/>
      <c r="G414" s="94"/>
      <c r="H414" s="94"/>
      <c r="I414" s="94"/>
      <c r="J414" s="94"/>
    </row>
    <row r="415" ht="15.75" customHeight="1">
      <c r="A415" s="94"/>
      <c r="B415" s="94"/>
      <c r="C415" s="94"/>
      <c r="D415" s="94"/>
      <c r="E415" s="94"/>
      <c r="F415" s="94"/>
      <c r="G415" s="94"/>
      <c r="H415" s="94"/>
      <c r="I415" s="94"/>
      <c r="J415" s="94"/>
    </row>
    <row r="416" ht="15.75" customHeight="1">
      <c r="A416" s="94"/>
      <c r="B416" s="94"/>
      <c r="C416" s="94"/>
      <c r="D416" s="94"/>
      <c r="E416" s="94"/>
      <c r="F416" s="94"/>
      <c r="G416" s="94"/>
      <c r="H416" s="94"/>
      <c r="I416" s="94"/>
      <c r="J416" s="94"/>
    </row>
    <row r="417" ht="15.75" customHeight="1">
      <c r="A417" s="94"/>
      <c r="B417" s="94"/>
      <c r="C417" s="94"/>
      <c r="D417" s="94"/>
      <c r="E417" s="94"/>
      <c r="F417" s="94"/>
      <c r="G417" s="94"/>
      <c r="H417" s="94"/>
      <c r="I417" s="94"/>
      <c r="J417" s="94"/>
    </row>
    <row r="418" ht="15.75" customHeight="1">
      <c r="A418" s="94"/>
      <c r="B418" s="94"/>
      <c r="C418" s="94"/>
      <c r="D418" s="94"/>
      <c r="E418" s="94"/>
      <c r="F418" s="94"/>
      <c r="G418" s="94"/>
      <c r="H418" s="94"/>
      <c r="I418" s="94"/>
      <c r="J418" s="94"/>
    </row>
    <row r="419" ht="15.75" customHeight="1">
      <c r="A419" s="94"/>
      <c r="B419" s="94"/>
      <c r="C419" s="94"/>
      <c r="D419" s="94"/>
      <c r="E419" s="94"/>
      <c r="F419" s="94"/>
      <c r="G419" s="94"/>
      <c r="H419" s="94"/>
      <c r="I419" s="94"/>
      <c r="J419" s="94"/>
    </row>
    <row r="420" ht="15.75" customHeight="1">
      <c r="A420" s="94"/>
      <c r="B420" s="94"/>
      <c r="C420" s="94"/>
      <c r="D420" s="94"/>
      <c r="E420" s="94"/>
      <c r="F420" s="94"/>
      <c r="G420" s="94"/>
      <c r="H420" s="94"/>
      <c r="I420" s="94"/>
      <c r="J420" s="94"/>
    </row>
    <row r="421" ht="15.75" customHeight="1">
      <c r="A421" s="94"/>
      <c r="B421" s="94"/>
      <c r="C421" s="94"/>
      <c r="D421" s="94"/>
      <c r="E421" s="94"/>
      <c r="F421" s="94"/>
      <c r="G421" s="94"/>
      <c r="H421" s="94"/>
      <c r="I421" s="94"/>
      <c r="J421" s="94"/>
    </row>
    <row r="422" ht="15.75" customHeight="1">
      <c r="A422" s="94"/>
      <c r="B422" s="94"/>
      <c r="C422" s="94"/>
      <c r="D422" s="94"/>
      <c r="E422" s="94"/>
      <c r="F422" s="94"/>
      <c r="G422" s="94"/>
      <c r="H422" s="94"/>
      <c r="I422" s="94"/>
      <c r="J422" s="94"/>
    </row>
    <row r="423" ht="15.75" customHeight="1">
      <c r="A423" s="94"/>
      <c r="B423" s="94"/>
      <c r="C423" s="94"/>
      <c r="D423" s="94"/>
      <c r="E423" s="94"/>
      <c r="F423" s="94"/>
      <c r="G423" s="94"/>
      <c r="H423" s="94"/>
      <c r="I423" s="94"/>
      <c r="J423" s="94"/>
    </row>
    <row r="424" ht="15.75" customHeight="1">
      <c r="A424" s="94"/>
      <c r="B424" s="94"/>
      <c r="C424" s="94"/>
      <c r="D424" s="94"/>
      <c r="E424" s="94"/>
      <c r="F424" s="94"/>
      <c r="G424" s="94"/>
      <c r="H424" s="94"/>
      <c r="I424" s="94"/>
      <c r="J424" s="94"/>
    </row>
    <row r="425" ht="15.75" customHeight="1">
      <c r="A425" s="94"/>
      <c r="B425" s="94"/>
      <c r="C425" s="94"/>
      <c r="D425" s="94"/>
      <c r="E425" s="94"/>
      <c r="F425" s="94"/>
      <c r="G425" s="94"/>
      <c r="H425" s="94"/>
      <c r="I425" s="94"/>
      <c r="J425" s="94"/>
    </row>
    <row r="426" ht="15.75" customHeight="1">
      <c r="A426" s="94"/>
      <c r="B426" s="94"/>
      <c r="C426" s="94"/>
      <c r="D426" s="94"/>
      <c r="E426" s="94"/>
      <c r="F426" s="94"/>
      <c r="G426" s="94"/>
      <c r="H426" s="94"/>
      <c r="I426" s="94"/>
      <c r="J426" s="94"/>
    </row>
    <row r="427" ht="15.75" customHeight="1">
      <c r="A427" s="94"/>
      <c r="B427" s="94"/>
      <c r="C427" s="94"/>
      <c r="D427" s="94"/>
      <c r="E427" s="94"/>
      <c r="F427" s="94"/>
      <c r="G427" s="94"/>
      <c r="H427" s="94"/>
      <c r="I427" s="94"/>
      <c r="J427" s="94"/>
    </row>
    <row r="428" ht="15.75" customHeight="1">
      <c r="A428" s="94"/>
      <c r="B428" s="94"/>
      <c r="C428" s="94"/>
      <c r="D428" s="94"/>
      <c r="E428" s="94"/>
      <c r="F428" s="94"/>
      <c r="G428" s="94"/>
      <c r="H428" s="94"/>
      <c r="I428" s="94"/>
      <c r="J428" s="94"/>
    </row>
    <row r="429" ht="15.75" customHeight="1">
      <c r="A429" s="94"/>
      <c r="B429" s="94"/>
      <c r="C429" s="94"/>
      <c r="D429" s="94"/>
      <c r="E429" s="94"/>
      <c r="F429" s="94"/>
      <c r="G429" s="94"/>
      <c r="H429" s="94"/>
      <c r="I429" s="94"/>
      <c r="J429" s="94"/>
    </row>
    <row r="430" ht="15.75" customHeight="1">
      <c r="A430" s="94"/>
      <c r="B430" s="94"/>
      <c r="C430" s="94"/>
      <c r="D430" s="94"/>
      <c r="E430" s="94"/>
      <c r="F430" s="94"/>
      <c r="G430" s="94"/>
      <c r="H430" s="94"/>
      <c r="I430" s="94"/>
      <c r="J430" s="94"/>
    </row>
    <row r="431" ht="15.75" customHeight="1">
      <c r="A431" s="94"/>
      <c r="B431" s="94"/>
      <c r="C431" s="94"/>
      <c r="D431" s="94"/>
      <c r="E431" s="94"/>
      <c r="F431" s="94"/>
      <c r="G431" s="94"/>
      <c r="H431" s="94"/>
      <c r="I431" s="94"/>
      <c r="J431" s="94"/>
    </row>
    <row r="432" ht="15.75" customHeight="1">
      <c r="A432" s="94"/>
      <c r="B432" s="94"/>
      <c r="C432" s="94"/>
      <c r="D432" s="94"/>
      <c r="E432" s="94"/>
      <c r="F432" s="94"/>
      <c r="G432" s="94"/>
      <c r="H432" s="94"/>
      <c r="I432" s="94"/>
      <c r="J432" s="94"/>
    </row>
    <row r="433" ht="15.75" customHeight="1">
      <c r="A433" s="94"/>
      <c r="B433" s="94"/>
      <c r="C433" s="94"/>
      <c r="D433" s="94"/>
      <c r="E433" s="94"/>
      <c r="F433" s="94"/>
      <c r="G433" s="94"/>
      <c r="H433" s="94"/>
      <c r="I433" s="94"/>
      <c r="J433" s="94"/>
    </row>
    <row r="434" ht="15.75" customHeight="1">
      <c r="A434" s="94"/>
      <c r="B434" s="94"/>
      <c r="C434" s="94"/>
      <c r="D434" s="94"/>
      <c r="E434" s="94"/>
      <c r="F434" s="94"/>
      <c r="G434" s="94"/>
      <c r="H434" s="94"/>
      <c r="I434" s="94"/>
      <c r="J434" s="94"/>
    </row>
    <row r="435" ht="15.75" customHeight="1">
      <c r="A435" s="94"/>
      <c r="B435" s="94"/>
      <c r="C435" s="94"/>
      <c r="D435" s="94"/>
      <c r="E435" s="94"/>
      <c r="F435" s="94"/>
      <c r="G435" s="94"/>
      <c r="H435" s="94"/>
      <c r="I435" s="94"/>
      <c r="J435" s="94"/>
    </row>
    <row r="436" ht="15.75" customHeight="1">
      <c r="A436" s="94"/>
      <c r="B436" s="94"/>
      <c r="C436" s="94"/>
      <c r="D436" s="94"/>
      <c r="E436" s="94"/>
      <c r="F436" s="94"/>
      <c r="G436" s="94"/>
      <c r="H436" s="94"/>
      <c r="I436" s="94"/>
      <c r="J436" s="94"/>
    </row>
    <row r="437" ht="15.75" customHeight="1">
      <c r="A437" s="94"/>
      <c r="B437" s="94"/>
      <c r="C437" s="94"/>
      <c r="D437" s="94"/>
      <c r="E437" s="94"/>
      <c r="F437" s="94"/>
      <c r="G437" s="94"/>
      <c r="H437" s="94"/>
      <c r="I437" s="94"/>
      <c r="J437" s="94"/>
    </row>
    <row r="438" ht="15.75" customHeight="1">
      <c r="A438" s="94"/>
      <c r="B438" s="94"/>
      <c r="C438" s="94"/>
      <c r="D438" s="94"/>
      <c r="E438" s="94"/>
      <c r="F438" s="94"/>
      <c r="G438" s="94"/>
      <c r="H438" s="94"/>
      <c r="I438" s="94"/>
      <c r="J438" s="94"/>
    </row>
    <row r="439" ht="15.75" customHeight="1">
      <c r="A439" s="94"/>
      <c r="B439" s="94"/>
      <c r="C439" s="94"/>
      <c r="D439" s="94"/>
      <c r="E439" s="94"/>
      <c r="F439" s="94"/>
      <c r="G439" s="94"/>
      <c r="H439" s="94"/>
      <c r="I439" s="94"/>
      <c r="J439" s="94"/>
    </row>
    <row r="440" ht="15.75" customHeight="1">
      <c r="A440" s="94"/>
      <c r="B440" s="94"/>
      <c r="C440" s="94"/>
      <c r="D440" s="94"/>
      <c r="E440" s="94"/>
      <c r="F440" s="94"/>
      <c r="G440" s="94"/>
      <c r="H440" s="94"/>
      <c r="I440" s="94"/>
      <c r="J440" s="94"/>
    </row>
    <row r="441" ht="15.75" customHeight="1">
      <c r="A441" s="94"/>
      <c r="B441" s="94"/>
      <c r="C441" s="94"/>
      <c r="D441" s="94"/>
      <c r="E441" s="94"/>
      <c r="F441" s="94"/>
      <c r="G441" s="94"/>
      <c r="H441" s="94"/>
      <c r="I441" s="94"/>
      <c r="J441" s="94"/>
    </row>
    <row r="442" ht="15.75" customHeight="1">
      <c r="A442" s="94"/>
      <c r="B442" s="94"/>
      <c r="C442" s="94"/>
      <c r="D442" s="94"/>
      <c r="E442" s="94"/>
      <c r="F442" s="94"/>
      <c r="G442" s="94"/>
      <c r="H442" s="94"/>
      <c r="I442" s="94"/>
      <c r="J442" s="94"/>
    </row>
    <row r="443" ht="15.75" customHeight="1">
      <c r="A443" s="94"/>
      <c r="B443" s="94"/>
      <c r="C443" s="94"/>
      <c r="D443" s="94"/>
      <c r="E443" s="94"/>
      <c r="F443" s="94"/>
      <c r="G443" s="94"/>
      <c r="H443" s="94"/>
      <c r="I443" s="94"/>
      <c r="J443" s="94"/>
    </row>
    <row r="444" ht="15.75" customHeight="1">
      <c r="A444" s="94"/>
      <c r="B444" s="94"/>
      <c r="C444" s="94"/>
      <c r="D444" s="94"/>
      <c r="E444" s="94"/>
      <c r="F444" s="94"/>
      <c r="G444" s="94"/>
      <c r="H444" s="94"/>
      <c r="I444" s="94"/>
      <c r="J444" s="94"/>
    </row>
    <row r="445" ht="15.75" customHeight="1">
      <c r="A445" s="94"/>
      <c r="B445" s="94"/>
      <c r="C445" s="94"/>
      <c r="D445" s="94"/>
      <c r="E445" s="94"/>
      <c r="F445" s="94"/>
      <c r="G445" s="94"/>
      <c r="H445" s="94"/>
      <c r="I445" s="94"/>
      <c r="J445" s="94"/>
    </row>
    <row r="446" ht="15.75" customHeight="1">
      <c r="A446" s="94"/>
      <c r="B446" s="94"/>
      <c r="C446" s="94"/>
      <c r="D446" s="94"/>
      <c r="E446" s="94"/>
      <c r="F446" s="94"/>
      <c r="G446" s="94"/>
      <c r="H446" s="94"/>
      <c r="I446" s="94"/>
      <c r="J446" s="94"/>
    </row>
    <row r="447" ht="15.75" customHeight="1">
      <c r="A447" s="94"/>
      <c r="B447" s="94"/>
      <c r="C447" s="94"/>
      <c r="D447" s="94"/>
      <c r="E447" s="94"/>
      <c r="F447" s="94"/>
      <c r="G447" s="94"/>
      <c r="H447" s="94"/>
      <c r="I447" s="94"/>
      <c r="J447" s="94"/>
    </row>
    <row r="448" ht="15.75" customHeight="1">
      <c r="A448" s="94"/>
      <c r="B448" s="94"/>
      <c r="C448" s="94"/>
      <c r="D448" s="94"/>
      <c r="E448" s="94"/>
      <c r="F448" s="94"/>
      <c r="G448" s="94"/>
      <c r="H448" s="94"/>
      <c r="I448" s="94"/>
      <c r="J448" s="94"/>
    </row>
    <row r="449" ht="15.75" customHeight="1">
      <c r="A449" s="94"/>
      <c r="B449" s="94"/>
      <c r="C449" s="94"/>
      <c r="D449" s="94"/>
      <c r="E449" s="94"/>
      <c r="F449" s="94"/>
      <c r="G449" s="94"/>
      <c r="H449" s="94"/>
      <c r="I449" s="94"/>
      <c r="J449" s="94"/>
    </row>
    <row r="450" ht="15.75" customHeight="1">
      <c r="A450" s="94"/>
      <c r="B450" s="94"/>
      <c r="C450" s="94"/>
      <c r="D450" s="94"/>
      <c r="E450" s="94"/>
      <c r="F450" s="94"/>
      <c r="G450" s="94"/>
      <c r="H450" s="94"/>
      <c r="I450" s="94"/>
      <c r="J450" s="94"/>
    </row>
    <row r="451" ht="15.75" customHeight="1">
      <c r="A451" s="94"/>
      <c r="B451" s="94"/>
      <c r="C451" s="94"/>
      <c r="D451" s="94"/>
      <c r="E451" s="94"/>
      <c r="F451" s="94"/>
      <c r="G451" s="94"/>
      <c r="H451" s="94"/>
      <c r="I451" s="94"/>
      <c r="J451" s="94"/>
    </row>
    <row r="452" ht="15.75" customHeight="1">
      <c r="A452" s="94"/>
      <c r="B452" s="94"/>
      <c r="C452" s="94"/>
      <c r="D452" s="94"/>
      <c r="E452" s="94"/>
      <c r="F452" s="94"/>
      <c r="G452" s="94"/>
      <c r="H452" s="94"/>
      <c r="I452" s="94"/>
      <c r="J452" s="94"/>
    </row>
    <row r="453" ht="15.75" customHeight="1">
      <c r="A453" s="94"/>
      <c r="B453" s="94"/>
      <c r="C453" s="94"/>
      <c r="D453" s="94"/>
      <c r="E453" s="94"/>
      <c r="F453" s="94"/>
      <c r="G453" s="94"/>
      <c r="H453" s="94"/>
      <c r="I453" s="94"/>
      <c r="J453" s="94"/>
    </row>
    <row r="454" ht="15.75" customHeight="1">
      <c r="A454" s="94"/>
      <c r="B454" s="94"/>
      <c r="C454" s="94"/>
      <c r="D454" s="94"/>
      <c r="E454" s="94"/>
      <c r="F454" s="94"/>
      <c r="G454" s="94"/>
      <c r="H454" s="94"/>
      <c r="I454" s="94"/>
      <c r="J454" s="94"/>
    </row>
    <row r="455" ht="15.75" customHeight="1">
      <c r="A455" s="94"/>
      <c r="B455" s="94"/>
      <c r="C455" s="94"/>
      <c r="D455" s="94"/>
      <c r="E455" s="94"/>
      <c r="F455" s="94"/>
      <c r="G455" s="94"/>
      <c r="H455" s="94"/>
      <c r="I455" s="94"/>
      <c r="J455" s="94"/>
    </row>
    <row r="456" ht="15.75" customHeight="1">
      <c r="A456" s="94"/>
      <c r="B456" s="94"/>
      <c r="C456" s="94"/>
      <c r="D456" s="94"/>
      <c r="E456" s="94"/>
      <c r="F456" s="94"/>
      <c r="G456" s="94"/>
      <c r="H456" s="94"/>
      <c r="I456" s="94"/>
      <c r="J456" s="94"/>
    </row>
    <row r="457" ht="15.75" customHeight="1">
      <c r="A457" s="94"/>
      <c r="B457" s="94"/>
      <c r="C457" s="94"/>
      <c r="D457" s="94"/>
      <c r="E457" s="94"/>
      <c r="F457" s="94"/>
      <c r="G457" s="94"/>
      <c r="H457" s="94"/>
      <c r="I457" s="94"/>
      <c r="J457" s="94"/>
    </row>
    <row r="458" ht="15.75" customHeight="1">
      <c r="A458" s="94"/>
      <c r="B458" s="94"/>
      <c r="C458" s="94"/>
      <c r="D458" s="94"/>
      <c r="E458" s="94"/>
      <c r="F458" s="94"/>
      <c r="G458" s="94"/>
      <c r="H458" s="94"/>
      <c r="I458" s="94"/>
      <c r="J458" s="94"/>
    </row>
    <row r="459" ht="15.75" customHeight="1">
      <c r="A459" s="94"/>
      <c r="B459" s="94"/>
      <c r="C459" s="94"/>
      <c r="D459" s="94"/>
      <c r="E459" s="94"/>
      <c r="F459" s="94"/>
      <c r="G459" s="94"/>
      <c r="H459" s="94"/>
      <c r="I459" s="94"/>
      <c r="J459" s="94"/>
    </row>
    <row r="460" ht="15.75" customHeight="1">
      <c r="A460" s="94"/>
      <c r="B460" s="94"/>
      <c r="C460" s="94"/>
      <c r="D460" s="94"/>
      <c r="E460" s="94"/>
      <c r="F460" s="94"/>
      <c r="G460" s="94"/>
      <c r="H460" s="94"/>
      <c r="I460" s="94"/>
      <c r="J460" s="94"/>
    </row>
    <row r="461" ht="15.75" customHeight="1">
      <c r="A461" s="94"/>
      <c r="B461" s="94"/>
      <c r="C461" s="94"/>
      <c r="D461" s="94"/>
      <c r="E461" s="94"/>
      <c r="F461" s="94"/>
      <c r="G461" s="94"/>
      <c r="H461" s="94"/>
      <c r="I461" s="94"/>
      <c r="J461" s="94"/>
    </row>
    <row r="462" ht="15.75" customHeight="1">
      <c r="A462" s="94"/>
      <c r="B462" s="94"/>
      <c r="C462" s="94"/>
      <c r="D462" s="94"/>
      <c r="E462" s="94"/>
      <c r="F462" s="94"/>
      <c r="G462" s="94"/>
      <c r="H462" s="94"/>
      <c r="I462" s="94"/>
      <c r="J462" s="94"/>
    </row>
    <row r="463" ht="15.75" customHeight="1">
      <c r="A463" s="94"/>
      <c r="B463" s="94"/>
      <c r="C463" s="94"/>
      <c r="D463" s="94"/>
      <c r="E463" s="94"/>
      <c r="F463" s="94"/>
      <c r="G463" s="94"/>
      <c r="H463" s="94"/>
      <c r="I463" s="94"/>
      <c r="J463" s="94"/>
    </row>
    <row r="464" ht="15.75" customHeight="1">
      <c r="A464" s="94"/>
      <c r="B464" s="94"/>
      <c r="C464" s="94"/>
      <c r="D464" s="94"/>
      <c r="E464" s="94"/>
      <c r="F464" s="94"/>
      <c r="G464" s="94"/>
      <c r="H464" s="94"/>
      <c r="I464" s="94"/>
      <c r="J464" s="94"/>
    </row>
    <row r="465" ht="15.75" customHeight="1">
      <c r="A465" s="94"/>
      <c r="B465" s="94"/>
      <c r="C465" s="94"/>
      <c r="D465" s="94"/>
      <c r="E465" s="94"/>
      <c r="F465" s="94"/>
      <c r="G465" s="94"/>
      <c r="H465" s="94"/>
      <c r="I465" s="94"/>
      <c r="J465" s="94"/>
    </row>
    <row r="466" ht="15.75" customHeight="1">
      <c r="A466" s="94"/>
      <c r="B466" s="94"/>
      <c r="C466" s="94"/>
      <c r="D466" s="94"/>
      <c r="E466" s="94"/>
      <c r="F466" s="94"/>
      <c r="G466" s="94"/>
      <c r="H466" s="94"/>
      <c r="I466" s="94"/>
      <c r="J466" s="94"/>
    </row>
    <row r="467" ht="15.75" customHeight="1">
      <c r="A467" s="94"/>
      <c r="B467" s="94"/>
      <c r="C467" s="94"/>
      <c r="D467" s="94"/>
      <c r="E467" s="94"/>
      <c r="F467" s="94"/>
      <c r="G467" s="94"/>
      <c r="H467" s="94"/>
      <c r="I467" s="94"/>
      <c r="J467" s="94"/>
    </row>
    <row r="468" ht="15.75" customHeight="1">
      <c r="A468" s="94"/>
      <c r="B468" s="94"/>
      <c r="C468" s="94"/>
      <c r="D468" s="94"/>
      <c r="E468" s="94"/>
      <c r="F468" s="94"/>
      <c r="G468" s="94"/>
      <c r="H468" s="94"/>
      <c r="I468" s="94"/>
      <c r="J468" s="94"/>
    </row>
    <row r="469" ht="15.75" customHeight="1">
      <c r="A469" s="94"/>
      <c r="B469" s="94"/>
      <c r="C469" s="94"/>
      <c r="D469" s="94"/>
      <c r="E469" s="94"/>
      <c r="F469" s="94"/>
      <c r="G469" s="94"/>
      <c r="H469" s="94"/>
      <c r="I469" s="94"/>
      <c r="J469" s="94"/>
    </row>
    <row r="470" ht="15.75" customHeight="1">
      <c r="A470" s="94"/>
      <c r="B470" s="94"/>
      <c r="C470" s="94"/>
      <c r="D470" s="94"/>
      <c r="E470" s="94"/>
      <c r="F470" s="94"/>
      <c r="G470" s="94"/>
      <c r="H470" s="94"/>
      <c r="I470" s="94"/>
      <c r="J470" s="94"/>
    </row>
    <row r="471" ht="15.75" customHeight="1">
      <c r="A471" s="94"/>
      <c r="B471" s="94"/>
      <c r="C471" s="94"/>
      <c r="D471" s="94"/>
      <c r="E471" s="94"/>
      <c r="F471" s="94"/>
      <c r="G471" s="94"/>
      <c r="H471" s="94"/>
      <c r="I471" s="94"/>
      <c r="J471" s="94"/>
    </row>
    <row r="472" ht="15.75" customHeight="1">
      <c r="A472" s="94"/>
      <c r="B472" s="94"/>
      <c r="C472" s="94"/>
      <c r="D472" s="94"/>
      <c r="E472" s="94"/>
      <c r="F472" s="94"/>
      <c r="G472" s="94"/>
      <c r="H472" s="94"/>
      <c r="I472" s="94"/>
      <c r="J472" s="94"/>
    </row>
    <row r="473" ht="15.75" customHeight="1">
      <c r="A473" s="94"/>
      <c r="B473" s="94"/>
      <c r="C473" s="94"/>
      <c r="D473" s="94"/>
      <c r="E473" s="94"/>
      <c r="F473" s="94"/>
      <c r="G473" s="94"/>
      <c r="H473" s="94"/>
      <c r="I473" s="94"/>
      <c r="J473" s="94"/>
    </row>
    <row r="474" ht="15.75" customHeight="1">
      <c r="A474" s="94"/>
      <c r="B474" s="94"/>
      <c r="C474" s="94"/>
      <c r="D474" s="94"/>
      <c r="E474" s="94"/>
      <c r="F474" s="94"/>
      <c r="G474" s="94"/>
      <c r="H474" s="94"/>
      <c r="I474" s="94"/>
      <c r="J474" s="94"/>
    </row>
    <row r="475" ht="15.75" customHeight="1">
      <c r="A475" s="94"/>
      <c r="B475" s="94"/>
      <c r="C475" s="94"/>
      <c r="D475" s="94"/>
      <c r="E475" s="94"/>
      <c r="F475" s="94"/>
      <c r="G475" s="94"/>
      <c r="H475" s="94"/>
      <c r="I475" s="94"/>
      <c r="J475" s="94"/>
    </row>
    <row r="476" ht="15.75" customHeight="1">
      <c r="A476" s="94"/>
      <c r="B476" s="94"/>
      <c r="C476" s="94"/>
      <c r="D476" s="94"/>
      <c r="E476" s="94"/>
      <c r="F476" s="94"/>
      <c r="G476" s="94"/>
      <c r="H476" s="94"/>
      <c r="I476" s="94"/>
      <c r="J476" s="94"/>
    </row>
    <row r="477" ht="15.75" customHeight="1">
      <c r="A477" s="94"/>
      <c r="B477" s="94"/>
      <c r="C477" s="94"/>
      <c r="D477" s="94"/>
      <c r="E477" s="94"/>
      <c r="F477" s="94"/>
      <c r="G477" s="94"/>
      <c r="H477" s="94"/>
      <c r="I477" s="94"/>
      <c r="J477" s="94"/>
    </row>
    <row r="478" ht="15.75" customHeight="1">
      <c r="A478" s="94"/>
      <c r="B478" s="94"/>
      <c r="C478" s="94"/>
      <c r="D478" s="94"/>
      <c r="E478" s="94"/>
      <c r="F478" s="94"/>
      <c r="G478" s="94"/>
      <c r="H478" s="94"/>
      <c r="I478" s="94"/>
      <c r="J478" s="94"/>
    </row>
    <row r="479" ht="15.75" customHeight="1">
      <c r="A479" s="94"/>
      <c r="B479" s="94"/>
      <c r="C479" s="94"/>
      <c r="D479" s="94"/>
      <c r="E479" s="94"/>
      <c r="F479" s="94"/>
      <c r="G479" s="94"/>
      <c r="H479" s="94"/>
      <c r="I479" s="94"/>
      <c r="J479" s="94"/>
    </row>
    <row r="480" ht="15.75" customHeight="1">
      <c r="A480" s="94"/>
      <c r="B480" s="94"/>
      <c r="C480" s="94"/>
      <c r="D480" s="94"/>
      <c r="E480" s="94"/>
      <c r="F480" s="94"/>
      <c r="G480" s="94"/>
      <c r="H480" s="94"/>
      <c r="I480" s="94"/>
      <c r="J480" s="94"/>
    </row>
    <row r="481" ht="15.75" customHeight="1">
      <c r="A481" s="94"/>
      <c r="B481" s="94"/>
      <c r="C481" s="94"/>
      <c r="D481" s="94"/>
      <c r="E481" s="94"/>
      <c r="F481" s="94"/>
      <c r="G481" s="94"/>
      <c r="H481" s="94"/>
      <c r="I481" s="94"/>
      <c r="J481" s="94"/>
    </row>
    <row r="482" ht="15.75" customHeight="1">
      <c r="A482" s="94"/>
      <c r="B482" s="94"/>
      <c r="C482" s="94"/>
      <c r="D482" s="94"/>
      <c r="E482" s="94"/>
      <c r="F482" s="94"/>
      <c r="G482" s="94"/>
      <c r="H482" s="94"/>
      <c r="I482" s="94"/>
      <c r="J482" s="94"/>
    </row>
    <row r="483" ht="15.75" customHeight="1">
      <c r="A483" s="94"/>
      <c r="B483" s="94"/>
      <c r="C483" s="94"/>
      <c r="D483" s="94"/>
      <c r="E483" s="94"/>
      <c r="F483" s="94"/>
      <c r="G483" s="94"/>
      <c r="H483" s="94"/>
      <c r="I483" s="94"/>
      <c r="J483" s="94"/>
    </row>
    <row r="484" ht="15.75" customHeight="1">
      <c r="A484" s="94"/>
      <c r="B484" s="94"/>
      <c r="C484" s="94"/>
      <c r="D484" s="94"/>
      <c r="E484" s="94"/>
      <c r="F484" s="94"/>
      <c r="G484" s="94"/>
      <c r="H484" s="94"/>
      <c r="I484" s="94"/>
      <c r="J484" s="94"/>
    </row>
    <row r="485" ht="15.75" customHeight="1">
      <c r="A485" s="94"/>
      <c r="B485" s="94"/>
      <c r="C485" s="94"/>
      <c r="D485" s="94"/>
      <c r="E485" s="94"/>
      <c r="F485" s="94"/>
      <c r="G485" s="94"/>
      <c r="H485" s="94"/>
      <c r="I485" s="94"/>
      <c r="J485" s="94"/>
    </row>
    <row r="486" ht="15.75" customHeight="1">
      <c r="A486" s="94"/>
      <c r="B486" s="94"/>
      <c r="C486" s="94"/>
      <c r="D486" s="94"/>
      <c r="E486" s="94"/>
      <c r="F486" s="94"/>
      <c r="G486" s="94"/>
      <c r="H486" s="94"/>
      <c r="I486" s="94"/>
      <c r="J486" s="94"/>
    </row>
    <row r="487" ht="15.75" customHeight="1">
      <c r="A487" s="94"/>
      <c r="B487" s="94"/>
      <c r="C487" s="94"/>
      <c r="D487" s="94"/>
      <c r="E487" s="94"/>
      <c r="F487" s="94"/>
      <c r="G487" s="94"/>
      <c r="H487" s="94"/>
      <c r="I487" s="94"/>
      <c r="J487" s="94"/>
    </row>
    <row r="488" ht="15.75" customHeight="1">
      <c r="A488" s="94"/>
      <c r="B488" s="94"/>
      <c r="C488" s="94"/>
      <c r="D488" s="94"/>
      <c r="E488" s="94"/>
      <c r="F488" s="94"/>
      <c r="G488" s="94"/>
      <c r="H488" s="94"/>
      <c r="I488" s="94"/>
      <c r="J488" s="94"/>
    </row>
    <row r="489" ht="15.75" customHeight="1">
      <c r="A489" s="94"/>
      <c r="B489" s="94"/>
      <c r="C489" s="94"/>
      <c r="D489" s="94"/>
      <c r="E489" s="94"/>
      <c r="F489" s="94"/>
      <c r="G489" s="94"/>
      <c r="H489" s="94"/>
      <c r="I489" s="94"/>
      <c r="J489" s="94"/>
    </row>
    <row r="490" ht="15.75" customHeight="1">
      <c r="A490" s="94"/>
      <c r="B490" s="94"/>
      <c r="C490" s="94"/>
      <c r="D490" s="94"/>
      <c r="E490" s="94"/>
      <c r="F490" s="94"/>
      <c r="G490" s="94"/>
      <c r="H490" s="94"/>
      <c r="I490" s="94"/>
      <c r="J490" s="94"/>
    </row>
    <row r="491" ht="15.75" customHeight="1">
      <c r="A491" s="94"/>
      <c r="B491" s="94"/>
      <c r="C491" s="94"/>
      <c r="D491" s="94"/>
      <c r="E491" s="94"/>
      <c r="F491" s="94"/>
      <c r="G491" s="94"/>
      <c r="H491" s="94"/>
      <c r="I491" s="94"/>
      <c r="J491" s="94"/>
    </row>
    <row r="492" ht="15.75" customHeight="1">
      <c r="A492" s="94"/>
      <c r="B492" s="94"/>
      <c r="C492" s="94"/>
      <c r="D492" s="94"/>
      <c r="E492" s="94"/>
      <c r="F492" s="94"/>
      <c r="G492" s="94"/>
      <c r="H492" s="94"/>
      <c r="I492" s="94"/>
      <c r="J492" s="94"/>
    </row>
    <row r="493" ht="15.75" customHeight="1">
      <c r="A493" s="94"/>
      <c r="B493" s="94"/>
      <c r="C493" s="94"/>
      <c r="D493" s="94"/>
      <c r="E493" s="94"/>
      <c r="F493" s="94"/>
      <c r="G493" s="94"/>
      <c r="H493" s="94"/>
      <c r="I493" s="94"/>
      <c r="J493" s="94"/>
    </row>
    <row r="494" ht="15.75" customHeight="1">
      <c r="A494" s="94"/>
      <c r="B494" s="94"/>
      <c r="C494" s="94"/>
      <c r="D494" s="94"/>
      <c r="E494" s="94"/>
      <c r="F494" s="94"/>
      <c r="G494" s="94"/>
      <c r="H494" s="94"/>
      <c r="I494" s="94"/>
      <c r="J494" s="94"/>
    </row>
    <row r="495" ht="15.75" customHeight="1">
      <c r="A495" s="94"/>
      <c r="B495" s="94"/>
      <c r="C495" s="94"/>
      <c r="D495" s="94"/>
      <c r="E495" s="94"/>
      <c r="F495" s="94"/>
      <c r="G495" s="94"/>
      <c r="H495" s="94"/>
      <c r="I495" s="94"/>
      <c r="J495" s="94"/>
    </row>
    <row r="496" ht="15.75" customHeight="1">
      <c r="A496" s="94"/>
      <c r="B496" s="94"/>
      <c r="C496" s="94"/>
      <c r="D496" s="94"/>
      <c r="E496" s="94"/>
      <c r="F496" s="94"/>
      <c r="G496" s="94"/>
      <c r="H496" s="94"/>
      <c r="I496" s="94"/>
      <c r="J496" s="94"/>
    </row>
    <row r="497" ht="15.75" customHeight="1">
      <c r="A497" s="94"/>
      <c r="B497" s="94"/>
      <c r="C497" s="94"/>
      <c r="D497" s="94"/>
      <c r="E497" s="94"/>
      <c r="F497" s="94"/>
      <c r="G497" s="94"/>
      <c r="H497" s="94"/>
      <c r="I497" s="94"/>
      <c r="J497" s="94"/>
    </row>
    <row r="498" ht="15.75" customHeight="1">
      <c r="A498" s="94"/>
      <c r="B498" s="94"/>
      <c r="C498" s="94"/>
      <c r="D498" s="94"/>
      <c r="E498" s="94"/>
      <c r="F498" s="94"/>
      <c r="G498" s="94"/>
      <c r="H498" s="94"/>
      <c r="I498" s="94"/>
      <c r="J498" s="94"/>
    </row>
    <row r="499" ht="15.75" customHeight="1">
      <c r="A499" s="94"/>
      <c r="B499" s="94"/>
      <c r="C499" s="94"/>
      <c r="D499" s="94"/>
      <c r="E499" s="94"/>
      <c r="F499" s="94"/>
      <c r="G499" s="94"/>
      <c r="H499" s="94"/>
      <c r="I499" s="94"/>
      <c r="J499" s="94"/>
    </row>
    <row r="500" ht="15.75" customHeight="1">
      <c r="A500" s="94"/>
      <c r="B500" s="94"/>
      <c r="C500" s="94"/>
      <c r="D500" s="94"/>
      <c r="E500" s="94"/>
      <c r="F500" s="94"/>
      <c r="G500" s="94"/>
      <c r="H500" s="94"/>
      <c r="I500" s="94"/>
      <c r="J500" s="94"/>
    </row>
    <row r="501" ht="15.75" customHeight="1">
      <c r="A501" s="94"/>
      <c r="B501" s="94"/>
      <c r="C501" s="94"/>
      <c r="D501" s="94"/>
      <c r="E501" s="94"/>
      <c r="F501" s="94"/>
      <c r="G501" s="94"/>
      <c r="H501" s="94"/>
      <c r="I501" s="94"/>
      <c r="J501" s="94"/>
    </row>
    <row r="502" ht="15.75" customHeight="1">
      <c r="A502" s="94"/>
      <c r="B502" s="94"/>
      <c r="C502" s="94"/>
      <c r="D502" s="94"/>
      <c r="E502" s="94"/>
      <c r="F502" s="94"/>
      <c r="G502" s="94"/>
      <c r="H502" s="94"/>
      <c r="I502" s="94"/>
      <c r="J502" s="94"/>
    </row>
    <row r="503" ht="15.75" customHeight="1">
      <c r="A503" s="94"/>
      <c r="B503" s="94"/>
      <c r="C503" s="94"/>
      <c r="D503" s="94"/>
      <c r="E503" s="94"/>
      <c r="F503" s="94"/>
      <c r="G503" s="94"/>
      <c r="H503" s="94"/>
      <c r="I503" s="94"/>
      <c r="J503" s="94"/>
    </row>
    <row r="504" ht="15.75" customHeight="1">
      <c r="A504" s="94"/>
      <c r="B504" s="94"/>
      <c r="C504" s="94"/>
      <c r="D504" s="94"/>
      <c r="E504" s="94"/>
      <c r="F504" s="94"/>
      <c r="G504" s="94"/>
      <c r="H504" s="94"/>
      <c r="I504" s="94"/>
      <c r="J504" s="94"/>
    </row>
    <row r="505" ht="15.75" customHeight="1">
      <c r="A505" s="94"/>
      <c r="B505" s="94"/>
      <c r="C505" s="94"/>
      <c r="D505" s="94"/>
      <c r="E505" s="94"/>
      <c r="F505" s="94"/>
      <c r="G505" s="94"/>
      <c r="H505" s="94"/>
      <c r="I505" s="94"/>
      <c r="J505" s="94"/>
    </row>
    <row r="506" ht="15.75" customHeight="1">
      <c r="A506" s="94"/>
      <c r="B506" s="94"/>
      <c r="C506" s="94"/>
      <c r="D506" s="94"/>
      <c r="E506" s="94"/>
      <c r="F506" s="94"/>
      <c r="G506" s="94"/>
      <c r="H506" s="94"/>
      <c r="I506" s="94"/>
      <c r="J506" s="94"/>
    </row>
    <row r="507" ht="15.75" customHeight="1">
      <c r="A507" s="94"/>
      <c r="B507" s="94"/>
      <c r="C507" s="94"/>
      <c r="D507" s="94"/>
      <c r="E507" s="94"/>
      <c r="F507" s="94"/>
      <c r="G507" s="94"/>
      <c r="H507" s="94"/>
      <c r="I507" s="94"/>
      <c r="J507" s="94"/>
    </row>
    <row r="508" ht="15.75" customHeight="1">
      <c r="A508" s="94"/>
      <c r="B508" s="94"/>
      <c r="C508" s="94"/>
      <c r="D508" s="94"/>
      <c r="E508" s="94"/>
      <c r="F508" s="94"/>
      <c r="G508" s="94"/>
      <c r="H508" s="94"/>
      <c r="I508" s="94"/>
      <c r="J508" s="94"/>
    </row>
    <row r="509" ht="15.75" customHeight="1">
      <c r="A509" s="94"/>
      <c r="B509" s="94"/>
      <c r="C509" s="94"/>
      <c r="D509" s="94"/>
      <c r="E509" s="94"/>
      <c r="F509" s="94"/>
      <c r="G509" s="94"/>
      <c r="H509" s="94"/>
      <c r="I509" s="94"/>
      <c r="J509" s="94"/>
    </row>
    <row r="510" ht="15.75" customHeight="1">
      <c r="A510" s="94"/>
      <c r="B510" s="94"/>
      <c r="C510" s="94"/>
      <c r="D510" s="94"/>
      <c r="E510" s="94"/>
      <c r="F510" s="94"/>
      <c r="G510" s="94"/>
      <c r="H510" s="94"/>
      <c r="I510" s="94"/>
      <c r="J510" s="94"/>
    </row>
    <row r="511" ht="15.75" customHeight="1">
      <c r="A511" s="94"/>
      <c r="B511" s="94"/>
      <c r="C511" s="94"/>
      <c r="D511" s="94"/>
      <c r="E511" s="94"/>
      <c r="F511" s="94"/>
      <c r="G511" s="94"/>
      <c r="H511" s="94"/>
      <c r="I511" s="94"/>
      <c r="J511" s="94"/>
    </row>
    <row r="512" ht="15.75" customHeight="1">
      <c r="A512" s="94"/>
      <c r="B512" s="94"/>
      <c r="C512" s="94"/>
      <c r="D512" s="94"/>
      <c r="E512" s="94"/>
      <c r="F512" s="94"/>
      <c r="G512" s="94"/>
      <c r="H512" s="94"/>
      <c r="I512" s="94"/>
      <c r="J512" s="94"/>
    </row>
    <row r="513" ht="15.75" customHeight="1">
      <c r="A513" s="94"/>
      <c r="B513" s="94"/>
      <c r="C513" s="94"/>
      <c r="D513" s="94"/>
      <c r="E513" s="94"/>
      <c r="F513" s="94"/>
      <c r="G513" s="94"/>
      <c r="H513" s="94"/>
      <c r="I513" s="94"/>
      <c r="J513" s="94"/>
    </row>
    <row r="514" ht="15.75" customHeight="1">
      <c r="A514" s="94"/>
      <c r="B514" s="94"/>
      <c r="C514" s="94"/>
      <c r="D514" s="94"/>
      <c r="E514" s="94"/>
      <c r="F514" s="94"/>
      <c r="G514" s="94"/>
      <c r="H514" s="94"/>
      <c r="I514" s="94"/>
      <c r="J514" s="94"/>
    </row>
    <row r="515" ht="15.75" customHeight="1">
      <c r="A515" s="94"/>
      <c r="B515" s="94"/>
      <c r="C515" s="94"/>
      <c r="D515" s="94"/>
      <c r="E515" s="94"/>
      <c r="F515" s="94"/>
      <c r="G515" s="94"/>
      <c r="H515" s="94"/>
      <c r="I515" s="94"/>
      <c r="J515" s="94"/>
    </row>
    <row r="516" ht="15.75" customHeight="1">
      <c r="A516" s="94"/>
      <c r="B516" s="94"/>
      <c r="C516" s="94"/>
      <c r="D516" s="94"/>
      <c r="E516" s="94"/>
      <c r="F516" s="94"/>
      <c r="G516" s="94"/>
      <c r="H516" s="94"/>
      <c r="I516" s="94"/>
      <c r="J516" s="94"/>
    </row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</sheetData>
  <mergeCells count="19">
    <mergeCell ref="M11:N11"/>
    <mergeCell ref="M12:N12"/>
    <mergeCell ref="M13:N13"/>
    <mergeCell ref="M14:N14"/>
    <mergeCell ref="G15:K15"/>
    <mergeCell ref="G19:K19"/>
    <mergeCell ref="G24:K24"/>
    <mergeCell ref="G25:G26"/>
    <mergeCell ref="G30:J30"/>
    <mergeCell ref="G65:J65"/>
    <mergeCell ref="G91:J91"/>
    <mergeCell ref="G122:J122"/>
    <mergeCell ref="G6:K6"/>
    <mergeCell ref="L6:N6"/>
    <mergeCell ref="M7:N7"/>
    <mergeCell ref="M8:N8"/>
    <mergeCell ref="M9:N9"/>
    <mergeCell ref="M10:N10"/>
    <mergeCell ref="G11:K11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